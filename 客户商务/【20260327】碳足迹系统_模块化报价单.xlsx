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20" activeTab="1"/>
  </bookViews>
  <sheets>
    <sheet name="封面" sheetId="1" r:id="rId1"/>
    <sheet name="总览" sheetId="3" r:id="rId2"/>
    <sheet name="明细报价" sheetId="4" r:id="rId3"/>
    <sheet name="假设与不包含" sheetId="5" r:id="rId4"/>
  </sheets>
  <definedNames>
    <definedName name="_xlnm._FilterDatabase" localSheetId="2" hidden="1">明细报价!$A$1:$L$47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<sst xmlns="http://schemas.openxmlformats.org/spreadsheetml/2006/main" count="460" uniqueCount="306">
  <si>
    <t>钢铁行业产业链碳足迹数据服务系统
需求报价单</t>
  </si>
  <si>
    <t>江苏荣泽信息科技股份有限公司</t>
  </si>
  <si>
    <t>一级模块</t>
  </si>
  <si>
    <t>汇总人天</t>
  </si>
  <si>
    <t>汇总金额（元）</t>
  </si>
  <si>
    <t>占总额比例</t>
  </si>
  <si>
    <t>备注</t>
  </si>
  <si>
    <t>平台与基础</t>
  </si>
  <si>
    <t>门户与统一入口</t>
  </si>
  <si>
    <t>运营管理端</t>
  </si>
  <si>
    <t>供应商工作台</t>
  </si>
  <si>
    <t>认证核查机构工作台</t>
  </si>
  <si>
    <t>横向能力</t>
  </si>
  <si>
    <t>集成与对接</t>
  </si>
  <si>
    <t>标准与合规</t>
  </si>
  <si>
    <t>项目管理与非功能</t>
  </si>
  <si>
    <t>合计</t>
  </si>
  <si>
    <t>提示：可按「明细报价」表中「阶段」列筛选 MVP / 二阶段 / 可选 报价；「占总额比例」为各模块金额占上方各模块金额合计之比。</t>
  </si>
  <si>
    <t>报价编号</t>
  </si>
  <si>
    <t>阶段</t>
  </si>
  <si>
    <t>二级模块</t>
  </si>
  <si>
    <t>功能点/工作包</t>
  </si>
  <si>
    <t>交付物</t>
  </si>
  <si>
    <t>工作量单位</t>
  </si>
  <si>
    <t>数量</t>
  </si>
  <si>
    <t>单价（元）</t>
  </si>
  <si>
    <t>金额（元）</t>
  </si>
  <si>
    <t>技术/商务备注</t>
  </si>
  <si>
    <t>验收准则</t>
  </si>
  <si>
    <t>Q-PLAT-001</t>
  </si>
  <si>
    <t>MVP</t>
  </si>
  <si>
    <t>RBAC与系统管理</t>
  </si>
  <si>
    <t>角色权限矩阵与系统管理</t>
  </si>
  <si>
    <t>Web管理端、权限API、联调</t>
  </si>
  <si>
    <t>人天</t>
  </si>
  <si>
    <t>范围见 docs/01_业务与流程/02_全局数据字典与枚举.md §3</t>
  </si>
  <si>
    <t>角色可按矩阵配置关键菜单与操作；权限变更生效可验证</t>
  </si>
  <si>
    <t>Q-PLAT-002</t>
  </si>
  <si>
    <t>关键操作日志</t>
  </si>
  <si>
    <t>日志采集、查询、导出接口与页面</t>
  </si>
  <si>
    <t/>
  </si>
  <si>
    <t>填报/下发/归档等关键动作可追溯且可检索</t>
  </si>
  <si>
    <t>Q-PLAT-003</t>
  </si>
  <si>
    <t>基础服务</t>
  </si>
  <si>
    <t>文件存储与上传策略</t>
  </si>
  <si>
    <t>对象存储对接或自建、凭证与大小限制</t>
  </si>
  <si>
    <t>与模板填报、证照上传共用</t>
  </si>
  <si>
    <t>凭证可按任务维度上传、下载权限受控</t>
  </si>
  <si>
    <t>Q-PORT-001</t>
  </si>
  <si>
    <t>系统门户</t>
  </si>
  <si>
    <t>index.html 平台门户与多服务入口</t>
  </si>
  <si>
    <t>静态页、导航、部署配置</t>
  </si>
  <si>
    <t>见 README 门户说明</t>
  </si>
  <si>
    <t>可访问且产品碳足迹入口跳转正确</t>
  </si>
  <si>
    <t>Q-PORT-002</t>
  </si>
  <si>
    <t>产品碳足迹门户</t>
  </si>
  <si>
    <t>pcf.html 二级门户与三端入口</t>
  </si>
  <si>
    <t>静态页、工作台跳转</t>
  </si>
  <si>
    <t>运营/供应商/核查入口可分别进入对应工作台</t>
  </si>
  <si>
    <t>Q-OPS-001</t>
  </si>
  <si>
    <t>运营驾驶舱</t>
  </si>
  <si>
    <t>简版 KPI、数据流、快捷入口</t>
  </si>
  <si>
    <t>operator/dashboard.html 及接口</t>
  </si>
  <si>
    <t>整版驾驶舱见「二阶段」独立行</t>
  </si>
  <si>
    <t>展示核心指标与跳转任务/报告入口</t>
  </si>
  <si>
    <t>Q-OPS-002</t>
  </si>
  <si>
    <t>订单管理</t>
  </si>
  <si>
    <t>订单四态与「确认并分配任务」</t>
  </si>
  <si>
    <t>order.html、订单API、生成任务</t>
  </si>
  <si>
    <t>与鑫采商城对接单列集成行</t>
  </si>
  <si>
    <t>已支付→确认后生成任务并可从任务列表追溯</t>
  </si>
  <si>
    <t>Q-OPS-003</t>
  </si>
  <si>
    <t>任务管理</t>
  </si>
  <si>
    <t>任务列表（五段）与阶段跳转</t>
  </si>
  <si>
    <t>self_operated_task_list 等、列表API</t>
  </si>
  <si>
    <t>阶段4仅跳转报告管理</t>
  </si>
  <si>
    <t>列表阶段与任务主状态一致</t>
  </si>
  <si>
    <t>Q-OPS-004</t>
  </si>
  <si>
    <t>任务详情-配置阶段</t>
  </si>
  <si>
    <t>task_detail_config、模板选择、Snapshot</t>
  </si>
  <si>
    <t>见 05_模板引擎</t>
  </si>
  <si>
    <t>可选模板并生成快照供填报使用</t>
  </si>
  <si>
    <t>Q-OPS-005</t>
  </si>
  <si>
    <t>任务详情-采集审核</t>
  </si>
  <si>
    <t>task_detail_collect、审核通过/驳回</t>
  </si>
  <si>
    <t>与供应商填报联动</t>
  </si>
  <si>
    <t>可审核供应商提交并产生驳回原因</t>
  </si>
  <si>
    <t>Q-OPS-006</t>
  </si>
  <si>
    <t>任务详情-LCA计算</t>
  </si>
  <si>
    <t>task_detail_lca、状态与手工/接口预留</t>
  </si>
  <si>
    <t>计算引擎对接见集成行</t>
  </si>
  <si>
    <t>计算阶段状态可推进并记录</t>
  </si>
  <si>
    <t>Q-OPS-007</t>
  </si>
  <si>
    <t>任务详情-核查协作</t>
  </si>
  <si>
    <t>task_detail_verify、与核查端状态衔接</t>
  </si>
  <si>
    <t>核查结果可反映到任务与报告流程</t>
  </si>
  <si>
    <t>Q-OPS-008</t>
  </si>
  <si>
    <t>任务工作台</t>
  </si>
  <si>
    <t>task_workspace、跨子任务协作</t>
  </si>
  <si>
    <t>视实施范围可合并计价</t>
  </si>
  <si>
    <t>运营可在工作台完成分配的操作</t>
  </si>
  <si>
    <t>Q-OPS-009</t>
  </si>
  <si>
    <t>报告管理</t>
  </si>
  <si>
    <t>用印版、下发、申诉处理、归档</t>
  </si>
  <si>
    <t>report_mgt、report_detail、规则见 08_PR</t>
  </si>
  <si>
    <t>申诉中不可归档等规则需实现</t>
  </si>
  <si>
    <t>可走通：上传→下发→供应商确认/申诉→归档闭环</t>
  </si>
  <si>
    <t>Q-OPS-010</t>
  </si>
  <si>
    <t>供应商管理</t>
  </si>
  <si>
    <t>供应商CRM与详情、证照视图</t>
  </si>
  <si>
    <t>supplier_mgt、supplier_mgt_detail</t>
  </si>
  <si>
    <t>与供应商 identity 数据对应</t>
  </si>
  <si>
    <t>机构与证照信息与供应商端一致</t>
  </si>
  <si>
    <t>Q-OPS-011</t>
  </si>
  <si>
    <t>核查机构管理</t>
  </si>
  <si>
    <t>核查机构与策略维护</t>
  </si>
  <si>
    <t>certifier_mgt、certifier_detail</t>
  </si>
  <si>
    <t>机构可派发核查任务</t>
  </si>
  <si>
    <t>Q-OPS-012</t>
  </si>
  <si>
    <t>模板中心</t>
  </si>
  <si>
    <t>采集模板维护与任务绑定</t>
  </si>
  <si>
    <t>templates_mgt、template_detail</t>
  </si>
  <si>
    <t>见 05_模板引擎解析逻辑</t>
  </si>
  <si>
    <t>模板版本可管理并用于生成 Snapshot</t>
  </si>
  <si>
    <t>Q-OPS-013</t>
  </si>
  <si>
    <t>二阶段</t>
  </si>
  <si>
    <t>结算中心</t>
  </si>
  <si>
    <t>结算单与确认（完整实现）</t>
  </si>
  <si>
    <t>settlement 业务与接口</t>
  </si>
  <si>
    <t>第一阶段仅预留入口</t>
  </si>
  <si>
    <t>按二期范围验收</t>
  </si>
  <si>
    <t>Q-OPS-014</t>
  </si>
  <si>
    <t>驾驶舱完整版（整体）</t>
  </si>
  <si>
    <t>dashboard 增强与数据接入</t>
  </si>
  <si>
    <t>第一阶段设计方案：二迭代做整体</t>
  </si>
  <si>
    <t>Q-SUP-001</t>
  </si>
  <si>
    <t>工作台</t>
  </si>
  <si>
    <t>概览与快捷入口</t>
  </si>
  <si>
    <t>supplier/dashboard.html</t>
  </si>
  <si>
    <t>见 06 功能清单序号1</t>
  </si>
  <si>
    <t>待办/澄清/报告数展示正确</t>
  </si>
  <si>
    <t>Q-SUP-002</t>
  </si>
  <si>
    <t>待办任务</t>
  </si>
  <si>
    <t>列表与跳转填报/澄清</t>
  </si>
  <si>
    <t>task_list.html</t>
  </si>
  <si>
    <t>见 06 序号2</t>
  </si>
  <si>
    <t>三类待办类型可分流</t>
  </si>
  <si>
    <t>Q-SUP-003</t>
  </si>
  <si>
    <t>任务填报</t>
  </si>
  <si>
    <t>填报与凭证上传</t>
  </si>
  <si>
    <t>task_fill.html、Spread/表单</t>
  </si>
  <si>
    <t>见 06 序号3</t>
  </si>
  <si>
    <t>可提交且运营端可看到</t>
  </si>
  <si>
    <t>Q-SUP-004</t>
  </si>
  <si>
    <t>待澄清处理</t>
  </si>
  <si>
    <t>回复与佐证上传</t>
  </si>
  <si>
    <t>task_clarify.html</t>
  </si>
  <si>
    <t>见 06 序号4</t>
  </si>
  <si>
    <t>回复与运营端协作衔接</t>
  </si>
  <si>
    <t>Q-SUP-005</t>
  </si>
  <si>
    <t>我的报告</t>
  </si>
  <si>
    <t>预览、确认接收、申诉</t>
  </si>
  <si>
    <t>reports.html</t>
  </si>
  <si>
    <t>见 06 序号5</t>
  </si>
  <si>
    <t>仅下发后可见；确认后不可申诉</t>
  </si>
  <si>
    <t>Q-SUP-006</t>
  </si>
  <si>
    <t>企业信息与证照</t>
  </si>
  <si>
    <t>维护/提交空间同步</t>
  </si>
  <si>
    <t>identity.html</t>
  </si>
  <si>
    <t>见 06 序号6</t>
  </si>
  <si>
    <t>营业执照必选；同步路径可演示</t>
  </si>
  <si>
    <t>Q-SUP-007</t>
  </si>
  <si>
    <t>知识库与帮助</t>
  </si>
  <si>
    <t>帮助与知识库入口</t>
  </si>
  <si>
    <t>help 等</t>
  </si>
  <si>
    <t>可与占位内容起价</t>
  </si>
  <si>
    <t>帮助入口可用</t>
  </si>
  <si>
    <t>Q-SUP-008</t>
  </si>
  <si>
    <t>绿色生态市场</t>
  </si>
  <si>
    <t>市场占位扩展为实功能</t>
  </si>
  <si>
    <t>market.html</t>
  </si>
  <si>
    <t>06 序号7 为 P2</t>
  </si>
  <si>
    <t>按可选包验收</t>
  </si>
  <si>
    <t>Q-CER-001</t>
  </si>
  <si>
    <t>核查仪表盘</t>
  </si>
  <si>
    <t>KPI与任务队列等</t>
  </si>
  <si>
    <t>certifier/dashboard.html</t>
  </si>
  <si>
    <t>见 09 序号1</t>
  </si>
  <si>
    <t>仪表盘可加载并跳转列表</t>
  </si>
  <si>
    <t>Q-CER-002</t>
  </si>
  <si>
    <t>核查任务列表</t>
  </si>
  <si>
    <t>列表与跳转详情</t>
  </si>
  <si>
    <t>certifier/task_list.html</t>
  </si>
  <si>
    <t>见 09 序号2</t>
  </si>
  <si>
    <t>taskId 与运营端一致</t>
  </si>
  <si>
    <t>Q-CER-003</t>
  </si>
  <si>
    <t>核查任务详情</t>
  </si>
  <si>
    <t>证照与报告只读、通过/驳回/澄清</t>
  </si>
  <si>
    <t>certifier/task_detail*.html</t>
  </si>
  <si>
    <t>见 09 序号3；穿透可为简化版</t>
  </si>
  <si>
    <t>核查动作可驱动任务状态</t>
  </si>
  <si>
    <t>Q-CER-004</t>
  </si>
  <si>
    <t>证书颁发管理</t>
  </si>
  <si>
    <t>证书记录列表与查看</t>
  </si>
  <si>
    <t>certifier/certificates.html</t>
  </si>
  <si>
    <t>见 09 序号4</t>
  </si>
  <si>
    <t>与报告/任务可追溯</t>
  </si>
  <si>
    <t>Q-CER-005</t>
  </si>
  <si>
    <t>结算单列表与确认</t>
  </si>
  <si>
    <t>certifier/settlement.html 完整实现</t>
  </si>
  <si>
    <t>09 序号5 为 P1</t>
  </si>
  <si>
    <t>Q-CER-006</t>
  </si>
  <si>
    <t>机构管理</t>
  </si>
  <si>
    <t>人员与成员管理</t>
  </si>
  <si>
    <t>certifier/admin.html</t>
  </si>
  <si>
    <t>09 序号6 为 P1</t>
  </si>
  <si>
    <t>Q-CER-007</t>
  </si>
  <si>
    <t>身份与登录</t>
  </si>
  <si>
    <t>正式环境登录与权限接入</t>
  </si>
  <si>
    <t>登录页对接 IAM</t>
  </si>
  <si>
    <t>原型 login 为演示；实施期对接</t>
  </si>
  <si>
    <t>核查员仅见本机构数据</t>
  </si>
  <si>
    <t>Q-X-001</t>
  </si>
  <si>
    <t>模板与表格引擎</t>
  </si>
  <si>
    <t>模板解析、Snapshot、填报渲染</t>
  </si>
  <si>
    <t>后端解析、Spread 集成、spreadUtils</t>
  </si>
  <si>
    <t>见 docs/02/05_模板引擎解析逻辑.md；授权费另计</t>
  </si>
  <si>
    <t>与运营模板中心、供应商填报一致</t>
  </si>
  <si>
    <t>Q-X-002</t>
  </si>
  <si>
    <t>第三方费用</t>
  </si>
  <si>
    <t>GrapeCity SpreadJS 商业授权</t>
  </si>
  <si>
    <t>License 采购（按年/部署域）</t>
  </si>
  <si>
    <t>固定价</t>
  </si>
  <si>
    <t>单价填厂商报价；或删行改由客户自采</t>
  </si>
  <si>
    <t>取得合法授权后生产可用</t>
  </si>
  <si>
    <t>Q-X-003</t>
  </si>
  <si>
    <t>澄清与消息</t>
  </si>
  <si>
    <t>驳回/澄清/异议与消息可见性</t>
  </si>
  <si>
    <t>UI+消息API+联调，见 docs/04</t>
  </si>
  <si>
    <t>支持消息流转</t>
  </si>
  <si>
    <t>三端消息与状态一致</t>
  </si>
  <si>
    <t>Q-X-004</t>
  </si>
  <si>
    <t>任务详情统一</t>
  </si>
  <si>
    <t>统一布局/子页与组件</t>
  </si>
  <si>
    <t>task_detail 系列重构与规范</t>
  </si>
  <si>
    <t>见 docs/03_任务详情</t>
  </si>
  <si>
    <t>多阶段详情交互一致</t>
  </si>
  <si>
    <t>Q-INT-001</t>
  </si>
  <si>
    <t>商城订单</t>
  </si>
  <si>
    <t>鑫采商城订单集成（视接口成熟度）</t>
  </si>
  <si>
    <t>REST/回调、幂等与对账</t>
  </si>
  <si>
    <t>可单列人天包或按接口点数</t>
  </si>
  <si>
    <t>订单可进入本系统订单管理</t>
  </si>
  <si>
    <t>Q-INT-002</t>
  </si>
  <si>
    <t>LCA 计算</t>
  </si>
  <si>
    <t>手工摆渡方案与接口预留</t>
  </si>
  <si>
    <t>状态同步、文件/结果传递设计</t>
  </si>
  <si>
    <t>全自动对接可另立二期项</t>
  </si>
  <si>
    <t>当前阶段可演示人工闭环</t>
  </si>
  <si>
    <t>Q-INT-003</t>
  </si>
  <si>
    <t>擎工 SaaS</t>
  </si>
  <si>
    <t>任务下发、状态回调、结果回传</t>
  </si>
  <si>
    <t>连接器与接口实现</t>
  </si>
  <si>
    <t>见 11_接口与互操作设计 §5</t>
  </si>
  <si>
    <t>按二期技术方案验收</t>
  </si>
  <si>
    <t>Q-INT-004</t>
  </si>
  <si>
    <t>中心连接器</t>
  </si>
  <si>
    <t>基础版框架（非生产）</t>
  </si>
  <si>
    <t>服务注册与代理雏形</t>
  </si>
  <si>
    <t>见 11 与第一阶段设计方案 §六</t>
  </si>
  <si>
    <t>代码交付；标注不用于生产</t>
  </si>
  <si>
    <t>Q-INT-005</t>
  </si>
  <si>
    <t>边端与混合流程</t>
  </si>
  <si>
    <t>轻量化部署与编排（如适用）</t>
  </si>
  <si>
    <t>见 11 §6</t>
  </si>
  <si>
    <t>第三阶段视评审</t>
  </si>
  <si>
    <t>按三期方案验收</t>
  </si>
  <si>
    <t>Q-STD-001</t>
  </si>
  <si>
    <t>TDS/NDI 对齐</t>
  </si>
  <si>
    <t>架构与预留：身份、目录、合约、审计</t>
  </si>
  <si>
    <t>方案文档+接口占位+评审支持</t>
  </si>
  <si>
    <t>见 docs/05 与 11、22</t>
  </si>
  <si>
    <t>设计与实现对齐已确认清单</t>
  </si>
  <si>
    <t>Q-PM-001</t>
  </si>
  <si>
    <t>工程与运维</t>
  </si>
  <si>
    <t>部署、CI、备份、基础监控</t>
  </si>
  <si>
    <t>环境与文档</t>
  </si>
  <si>
    <t>可按环境交付运行说明</t>
  </si>
  <si>
    <t>Q-PM-002</t>
  </si>
  <si>
    <t>质量保障</t>
  </si>
  <si>
    <t>测试计划、用例、验收支持</t>
  </si>
  <si>
    <t>测试报告</t>
  </si>
  <si>
    <t>核心链路用例通过</t>
  </si>
  <si>
    <t>类型</t>
  </si>
  <si>
    <t>条款说明</t>
  </si>
  <si>
    <t>价格口径</t>
  </si>
  <si>
    <t>人工成本：产品设计 2000 元/人天；开发 1500 元/人天；项目管理 2000 元/人天；运维管理 1200 元/人天；测试管理 1400 元/人天。总价目标 80 万元（其中 MVP 人天合计 50 万元、SpreadJS 一次性 10 万元、二阶段及可选 20 万元）。</t>
  </si>
  <si>
    <t>不包含（示例）</t>
  </si>
  <si>
    <t>客户侧机房、专线、等保测评与渗透测试整改费用（除非单独报价）。</t>
  </si>
  <si>
    <t>商城本体开发与支付渠道手续费。</t>
  </si>
  <si>
    <t>非鑫智链的外部连接器联调</t>
  </si>
  <si>
    <t>OA 电子签章、二阶段结算完整业务（见明细二阶段行）。</t>
  </si>
  <si>
    <t>交付假设</t>
  </si>
  <si>
    <t>甲方按约提供测试环境、接口文档与对接窗口联系人。</t>
  </si>
  <si>
    <t>范围依据</t>
  </si>
  <si>
    <t>功能范围对齐仓库 docs：06 供应商、09 核查端、00_迭代计划/第一阶段设计方案.md。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</si>
</sst>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.5"/>
      <color rgb="FFFFFFFF"/>
      <name val="微软雅黑"/>
      <charset val="134"/>
    </font>
    <font>
      <b/>
      <sz val="11"/>
      <name val="宋体"/>
      <charset val="134"/>
      <scheme val="minor"/>
    </font>
    <font>
      <b/>
      <sz val="18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10" fontId="0" fillId="0" borderId="0" xfId="0" applyNumberFormat="1"/>
    <xf numFmtId="0" fontId="2" fillId="0" borderId="0" xfId="0" applyFont="1"/>
    <xf numFmtId="10" fontId="0" fillId="0" borderId="0" xfId="3" applyNumberForma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3:I33"/>
  <sheetViews>
    <sheetView workbookViewId="0">
      <selection activeCell="A1" sqref="A1"/>
    </sheetView>
  </sheetViews>
  <sheetFormatPr defaultColWidth="9" defaultRowHeight="16.8"/>
  <sheetData>
    <row r="13" ht="26" customHeight="1" spans="1:1">
      <c r="A13" s="9" t="s">
        <v>0</v>
      </c>
    </row>
    <row r="14" ht="26" customHeight="1"/>
    <row r="15" ht="26" customHeight="1"/>
    <row r="16" ht="26" customHeight="1"/>
    <row r="32" spans="1:1">
      <c r="A32" s="10" t="s">
        <v>1</v>
      </c>
    </row>
  </sheetData>
  <mergeCells count="2">
    <mergeCell ref="A13:I16"/>
    <mergeCell ref="A32:I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E6" sqref="E6"/>
    </sheetView>
  </sheetViews>
  <sheetFormatPr defaultColWidth="38.2980769230769" defaultRowHeight="16.8" outlineLevelCol="4"/>
  <cols>
    <col min="1" max="16384" width="38.2980769230769" customWidth="1"/>
  </cols>
  <sheetData>
    <row r="1" spans="1: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 t="s">
        <v>7</v>
      </c>
      <c r="B2">
        <f>SUMIF(明细报价!$C:$C,A2,明细报价!$H:$H)</f>
        <v>19</v>
      </c>
      <c r="C2">
        <f>SUMIF(明细报价!$C:$C,A2,明细报价!$J:$J)</f>
        <v>25800</v>
      </c>
      <c r="D2" s="5">
        <f t="shared" ref="D2:D10" si="0">IF(SUM($C$2:$C$10)=0,"",C2/SUM($C$2:$C$10))</f>
        <v>0.0316564417177914</v>
      </c>
    </row>
    <row r="3" spans="1:5">
      <c r="A3" t="s">
        <v>8</v>
      </c>
      <c r="B3">
        <f>SUMIF(明细报价!$C:$C,A3,明细报价!$H:$H)</f>
        <v>4</v>
      </c>
      <c r="C3">
        <f>SUMIF(明细报价!$C:$C,A3,明细报价!$J:$J)</f>
        <v>8000</v>
      </c>
      <c r="D3" s="5">
        <f t="shared" si="0"/>
        <v>0.0098159509202454</v>
      </c>
    </row>
    <row r="4" spans="1:5">
      <c r="A4" t="s">
        <v>9</v>
      </c>
      <c r="B4">
        <f>SUMIF(明细报价!$C:$C,A4,明细报价!$H:$H)</f>
        <v>119</v>
      </c>
      <c r="C4">
        <f>SUMIF(明细报价!$C:$C,A4,明细报价!$J:$J)</f>
        <v>197000</v>
      </c>
      <c r="D4" s="5">
        <f t="shared" si="0"/>
        <v>0.241717791411043</v>
      </c>
    </row>
    <row r="5" spans="1:5">
      <c r="A5" t="s">
        <v>10</v>
      </c>
      <c r="B5">
        <f>SUMIF(明细报价!$C:$C,A5,明细报价!$H:$H)</f>
        <v>106</v>
      </c>
      <c r="C5">
        <f>SUMIF(明细报价!$C:$C,A5,明细报价!$J:$J)</f>
        <v>159000</v>
      </c>
      <c r="D5" s="5">
        <f t="shared" si="0"/>
        <v>0.195092024539877</v>
      </c>
    </row>
    <row r="6" spans="1:5">
      <c r="A6" t="s">
        <v>11</v>
      </c>
      <c r="B6">
        <f>SUMIF(明细报价!$C:$C,A6,明细报价!$H:$H)</f>
        <v>101</v>
      </c>
      <c r="C6">
        <f>SUMIF(明细报价!$C:$C,A6,明细报价!$J:$J)</f>
        <v>151500</v>
      </c>
      <c r="D6" s="5">
        <f t="shared" si="0"/>
        <v>0.185889570552147</v>
      </c>
    </row>
    <row r="7" spans="1:5">
      <c r="A7" t="s">
        <v>12</v>
      </c>
      <c r="B7">
        <f>SUMIF(明细报价!$C:$C,A7,明细报价!$H:$H)</f>
        <v>15</v>
      </c>
      <c r="C7">
        <f>SUMIF(明细报价!$C:$C,A7,明细报价!$J:$J)</f>
        <v>122500</v>
      </c>
      <c r="D7" s="5">
        <f t="shared" si="0"/>
        <v>0.150306748466258</v>
      </c>
    </row>
    <row r="8" spans="1:5">
      <c r="A8" t="s">
        <v>13</v>
      </c>
      <c r="B8">
        <f>SUMIF(明细报价!$C:$C,A8,明细报价!$H:$H)</f>
        <v>56</v>
      </c>
      <c r="C8">
        <f>SUMIF(明细报价!$C:$C,A8,明细报价!$J:$J)</f>
        <v>83600</v>
      </c>
      <c r="D8" s="5">
        <f t="shared" si="0"/>
        <v>0.102576687116564</v>
      </c>
    </row>
    <row r="9" spans="1:5">
      <c r="A9" t="s">
        <v>14</v>
      </c>
      <c r="B9">
        <f>SUMIF(明细报价!$C:$C,A9,明细报价!$H:$H)</f>
        <v>1</v>
      </c>
      <c r="C9">
        <f>SUMIF(明细报价!$C:$C,A9,明细报价!$J:$J)</f>
        <v>2000</v>
      </c>
      <c r="D9" s="5">
        <f t="shared" si="0"/>
        <v>0.00245398773006135</v>
      </c>
    </row>
    <row r="10" spans="1:5">
      <c r="A10" t="s">
        <v>15</v>
      </c>
      <c r="B10">
        <f>SUMIF(明细报价!$C:$C,A10,明细报价!$H:$H)</f>
        <v>48</v>
      </c>
      <c r="C10">
        <f>SUMIF(明细报价!$C:$C,A10,明细报价!$J:$J)</f>
        <v>65600</v>
      </c>
      <c r="D10" s="5">
        <f t="shared" si="0"/>
        <v>0.0804907975460123</v>
      </c>
    </row>
    <row r="11" spans="1:5">
      <c r="A11" s="6" t="s">
        <v>16</v>
      </c>
      <c r="B11" s="6">
        <f>SUM(B2:B10)</f>
        <v>469</v>
      </c>
      <c r="C11" s="6">
        <f>SUM(C2:C10)</f>
        <v>815000</v>
      </c>
      <c r="D11" s="7">
        <f>SUM(D2:D10)</f>
        <v>1</v>
      </c>
    </row>
    <row r="12" spans="1:5">
      <c r="A12" s="8" t="s">
        <v>17</v>
      </c>
    </row>
  </sheetData>
  <mergeCells count="1">
    <mergeCell ref="A12:E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workbookViewId="0">
      <pane ySplit="1" topLeftCell="A2" activePane="bottomLeft" state="frozen"/>
      <selection/>
      <selection pane="bottomLeft" activeCell="H10" sqref="H10"/>
    </sheetView>
  </sheetViews>
  <sheetFormatPr defaultColWidth="9" defaultRowHeight="16.8"/>
  <cols>
    <col min="1" max="4" width="14" customWidth="1"/>
    <col min="5" max="6" width="28" customWidth="1"/>
    <col min="7" max="10" width="14" customWidth="1"/>
    <col min="11" max="12" width="28" customWidth="1"/>
  </cols>
  <sheetData>
    <row r="1" spans="1:12">
      <c r="A1" s="2" t="s">
        <v>18</v>
      </c>
      <c r="B1" s="2" t="s">
        <v>19</v>
      </c>
      <c r="C1" s="2" t="s">
        <v>2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</row>
    <row r="2" ht="51" spans="1:12">
      <c r="A2" s="3" t="s">
        <v>29</v>
      </c>
      <c r="B2" s="3" t="s">
        <v>30</v>
      </c>
      <c r="C2" s="3" t="s">
        <v>7</v>
      </c>
      <c r="D2" s="3" t="s">
        <v>31</v>
      </c>
      <c r="E2" s="3" t="s">
        <v>32</v>
      </c>
      <c r="F2" s="3" t="s">
        <v>33</v>
      </c>
      <c r="G2" s="3" t="s">
        <v>34</v>
      </c>
      <c r="H2" s="4">
        <v>5</v>
      </c>
      <c r="I2" s="3">
        <v>1500</v>
      </c>
      <c r="J2" s="3">
        <f t="shared" ref="J2:J47" si="0">IF(OR(ISBLANK(H2),ISBLANK(I2)),"",H2*I2)</f>
        <v>7500</v>
      </c>
      <c r="K2" s="3" t="s">
        <v>35</v>
      </c>
      <c r="L2" s="3" t="s">
        <v>36</v>
      </c>
    </row>
    <row r="3" ht="34" spans="1:12">
      <c r="A3" s="3" t="s">
        <v>37</v>
      </c>
      <c r="B3" s="3" t="s">
        <v>30</v>
      </c>
      <c r="C3" s="3" t="s">
        <v>7</v>
      </c>
      <c r="D3" s="3" t="s">
        <v>31</v>
      </c>
      <c r="E3" s="3" t="s">
        <v>38</v>
      </c>
      <c r="F3" s="3" t="s">
        <v>39</v>
      </c>
      <c r="G3" s="3" t="s">
        <v>34</v>
      </c>
      <c r="H3" s="4">
        <v>5</v>
      </c>
      <c r="I3" s="3">
        <v>1500</v>
      </c>
      <c r="J3" s="3">
        <f t="shared" si="0"/>
        <v>7500</v>
      </c>
      <c r="K3" s="3" t="s">
        <v>40</v>
      </c>
      <c r="L3" s="3" t="s">
        <v>41</v>
      </c>
    </row>
    <row r="4" ht="34" spans="1:12">
      <c r="A4" s="3" t="s">
        <v>42</v>
      </c>
      <c r="B4" s="3" t="s">
        <v>30</v>
      </c>
      <c r="C4" s="3" t="s">
        <v>7</v>
      </c>
      <c r="D4" s="3" t="s">
        <v>43</v>
      </c>
      <c r="E4" s="3" t="s">
        <v>44</v>
      </c>
      <c r="F4" s="3" t="s">
        <v>45</v>
      </c>
      <c r="G4" s="3" t="s">
        <v>34</v>
      </c>
      <c r="H4" s="4">
        <v>9</v>
      </c>
      <c r="I4" s="3">
        <v>1200</v>
      </c>
      <c r="J4" s="3">
        <f t="shared" si="0"/>
        <v>10800</v>
      </c>
      <c r="K4" s="3" t="s">
        <v>46</v>
      </c>
      <c r="L4" s="3" t="s">
        <v>47</v>
      </c>
    </row>
    <row r="5" ht="34" spans="1:12">
      <c r="A5" s="3" t="s">
        <v>48</v>
      </c>
      <c r="B5" s="3" t="s">
        <v>30</v>
      </c>
      <c r="C5" s="3" t="s">
        <v>8</v>
      </c>
      <c r="D5" s="3" t="s">
        <v>49</v>
      </c>
      <c r="E5" s="3" t="s">
        <v>50</v>
      </c>
      <c r="F5" s="3" t="s">
        <v>51</v>
      </c>
      <c r="G5" s="3" t="s">
        <v>34</v>
      </c>
      <c r="H5" s="4">
        <v>2</v>
      </c>
      <c r="I5" s="3">
        <v>2000</v>
      </c>
      <c r="J5" s="3">
        <f t="shared" si="0"/>
        <v>4000</v>
      </c>
      <c r="K5" s="3" t="s">
        <v>52</v>
      </c>
      <c r="L5" s="3" t="s">
        <v>53</v>
      </c>
    </row>
    <row r="6" ht="34" spans="1:12">
      <c r="A6" s="3" t="s">
        <v>54</v>
      </c>
      <c r="B6" s="3" t="s">
        <v>30</v>
      </c>
      <c r="C6" s="3" t="s">
        <v>8</v>
      </c>
      <c r="D6" s="3" t="s">
        <v>55</v>
      </c>
      <c r="E6" s="3" t="s">
        <v>56</v>
      </c>
      <c r="F6" s="3" t="s">
        <v>57</v>
      </c>
      <c r="G6" s="3" t="s">
        <v>34</v>
      </c>
      <c r="H6" s="4">
        <v>2</v>
      </c>
      <c r="I6" s="3">
        <v>2000</v>
      </c>
      <c r="J6" s="3">
        <f t="shared" si="0"/>
        <v>4000</v>
      </c>
      <c r="K6" s="3" t="s">
        <v>40</v>
      </c>
      <c r="L6" s="3" t="s">
        <v>58</v>
      </c>
    </row>
    <row r="7" ht="34" spans="1:12">
      <c r="A7" s="3" t="s">
        <v>59</v>
      </c>
      <c r="B7" s="3" t="s">
        <v>30</v>
      </c>
      <c r="C7" s="3" t="s">
        <v>9</v>
      </c>
      <c r="D7" s="3" t="s">
        <v>60</v>
      </c>
      <c r="E7" s="3" t="s">
        <v>61</v>
      </c>
      <c r="F7" s="3" t="s">
        <v>62</v>
      </c>
      <c r="G7" s="3" t="s">
        <v>34</v>
      </c>
      <c r="H7" s="4">
        <v>2</v>
      </c>
      <c r="I7" s="3">
        <v>2000</v>
      </c>
      <c r="J7" s="3">
        <f t="shared" si="0"/>
        <v>4000</v>
      </c>
      <c r="K7" s="3" t="s">
        <v>63</v>
      </c>
      <c r="L7" s="3" t="s">
        <v>64</v>
      </c>
    </row>
    <row r="8" ht="34" spans="1:12">
      <c r="A8" s="3" t="s">
        <v>65</v>
      </c>
      <c r="B8" s="3" t="s">
        <v>30</v>
      </c>
      <c r="C8" s="3" t="s">
        <v>9</v>
      </c>
      <c r="D8" s="3" t="s">
        <v>66</v>
      </c>
      <c r="E8" s="3" t="s">
        <v>67</v>
      </c>
      <c r="F8" s="3" t="s">
        <v>68</v>
      </c>
      <c r="G8" s="3" t="s">
        <v>34</v>
      </c>
      <c r="H8" s="4">
        <v>21</v>
      </c>
      <c r="I8" s="3">
        <v>2000</v>
      </c>
      <c r="J8" s="3">
        <f t="shared" si="0"/>
        <v>42000</v>
      </c>
      <c r="K8" s="3" t="s">
        <v>69</v>
      </c>
      <c r="L8" s="3" t="s">
        <v>70</v>
      </c>
    </row>
    <row r="9" ht="34" spans="1:12">
      <c r="A9" s="3" t="s">
        <v>71</v>
      </c>
      <c r="B9" s="3" t="s">
        <v>30</v>
      </c>
      <c r="C9" s="3" t="s">
        <v>9</v>
      </c>
      <c r="D9" s="3" t="s">
        <v>72</v>
      </c>
      <c r="E9" s="3" t="s">
        <v>73</v>
      </c>
      <c r="F9" s="3" t="s">
        <v>74</v>
      </c>
      <c r="G9" s="3" t="s">
        <v>34</v>
      </c>
      <c r="H9" s="4">
        <v>3</v>
      </c>
      <c r="I9" s="3">
        <v>2000</v>
      </c>
      <c r="J9" s="3">
        <f t="shared" si="0"/>
        <v>6000</v>
      </c>
      <c r="K9" s="3" t="s">
        <v>75</v>
      </c>
      <c r="L9" s="3" t="s">
        <v>76</v>
      </c>
    </row>
    <row r="10" ht="34" spans="1:12">
      <c r="A10" s="3" t="s">
        <v>77</v>
      </c>
      <c r="B10" s="3" t="s">
        <v>30</v>
      </c>
      <c r="C10" s="3" t="s">
        <v>9</v>
      </c>
      <c r="D10" s="3" t="s">
        <v>72</v>
      </c>
      <c r="E10" s="3" t="s">
        <v>78</v>
      </c>
      <c r="F10" s="3" t="s">
        <v>79</v>
      </c>
      <c r="G10" s="3" t="s">
        <v>34</v>
      </c>
      <c r="H10" s="4">
        <v>12</v>
      </c>
      <c r="I10" s="3">
        <v>1500</v>
      </c>
      <c r="J10" s="3">
        <f t="shared" si="0"/>
        <v>18000</v>
      </c>
      <c r="K10" s="3" t="s">
        <v>80</v>
      </c>
      <c r="L10" s="3" t="s">
        <v>81</v>
      </c>
    </row>
    <row r="11" ht="34" spans="1:12">
      <c r="A11" s="3" t="s">
        <v>82</v>
      </c>
      <c r="B11" s="3" t="s">
        <v>30</v>
      </c>
      <c r="C11" s="3" t="s">
        <v>9</v>
      </c>
      <c r="D11" s="3" t="s">
        <v>72</v>
      </c>
      <c r="E11" s="3" t="s">
        <v>83</v>
      </c>
      <c r="F11" s="3" t="s">
        <v>84</v>
      </c>
      <c r="G11" s="3" t="s">
        <v>34</v>
      </c>
      <c r="H11" s="4">
        <v>12</v>
      </c>
      <c r="I11" s="3">
        <v>1500</v>
      </c>
      <c r="J11" s="3">
        <f t="shared" si="0"/>
        <v>18000</v>
      </c>
      <c r="K11" s="3" t="s">
        <v>85</v>
      </c>
      <c r="L11" s="3" t="s">
        <v>86</v>
      </c>
    </row>
    <row r="12" ht="34" spans="1:12">
      <c r="A12" s="3" t="s">
        <v>87</v>
      </c>
      <c r="B12" s="3" t="s">
        <v>30</v>
      </c>
      <c r="C12" s="3" t="s">
        <v>9</v>
      </c>
      <c r="D12" s="3" t="s">
        <v>72</v>
      </c>
      <c r="E12" s="3" t="s">
        <v>88</v>
      </c>
      <c r="F12" s="3" t="s">
        <v>89</v>
      </c>
      <c r="G12" s="3" t="s">
        <v>34</v>
      </c>
      <c r="H12" s="4">
        <v>12</v>
      </c>
      <c r="I12" s="3">
        <v>1500</v>
      </c>
      <c r="J12" s="3">
        <f t="shared" si="0"/>
        <v>18000</v>
      </c>
      <c r="K12" s="3" t="s">
        <v>90</v>
      </c>
      <c r="L12" s="3" t="s">
        <v>91</v>
      </c>
    </row>
    <row r="13" ht="34" spans="1:12">
      <c r="A13" s="3" t="s">
        <v>92</v>
      </c>
      <c r="B13" s="3" t="s">
        <v>30</v>
      </c>
      <c r="C13" s="3" t="s">
        <v>9</v>
      </c>
      <c r="D13" s="3" t="s">
        <v>72</v>
      </c>
      <c r="E13" s="3" t="s">
        <v>93</v>
      </c>
      <c r="F13" s="3" t="s">
        <v>94</v>
      </c>
      <c r="G13" s="3" t="s">
        <v>34</v>
      </c>
      <c r="H13" s="4">
        <v>12</v>
      </c>
      <c r="I13" s="3">
        <v>1500</v>
      </c>
      <c r="J13" s="3">
        <f t="shared" si="0"/>
        <v>18000</v>
      </c>
      <c r="K13" s="3" t="s">
        <v>40</v>
      </c>
      <c r="L13" s="3" t="s">
        <v>95</v>
      </c>
    </row>
    <row r="14" ht="34" spans="1:12">
      <c r="A14" s="3" t="s">
        <v>96</v>
      </c>
      <c r="B14" s="3" t="s">
        <v>30</v>
      </c>
      <c r="C14" s="3" t="s">
        <v>9</v>
      </c>
      <c r="D14" s="3" t="s">
        <v>72</v>
      </c>
      <c r="E14" s="3" t="s">
        <v>97</v>
      </c>
      <c r="F14" s="3" t="s">
        <v>98</v>
      </c>
      <c r="G14" s="3" t="s">
        <v>34</v>
      </c>
      <c r="H14" s="4">
        <v>3</v>
      </c>
      <c r="I14" s="3">
        <v>2000</v>
      </c>
      <c r="J14" s="3">
        <f t="shared" si="0"/>
        <v>6000</v>
      </c>
      <c r="K14" s="3" t="s">
        <v>99</v>
      </c>
      <c r="L14" s="3" t="s">
        <v>100</v>
      </c>
    </row>
    <row r="15" ht="34" spans="1:12">
      <c r="A15" s="3" t="s">
        <v>101</v>
      </c>
      <c r="B15" s="3" t="s">
        <v>30</v>
      </c>
      <c r="C15" s="3" t="s">
        <v>9</v>
      </c>
      <c r="D15" s="3" t="s">
        <v>102</v>
      </c>
      <c r="E15" s="3" t="s">
        <v>103</v>
      </c>
      <c r="F15" s="3" t="s">
        <v>104</v>
      </c>
      <c r="G15" s="3" t="s">
        <v>34</v>
      </c>
      <c r="H15" s="4">
        <v>3</v>
      </c>
      <c r="I15" s="3">
        <v>2000</v>
      </c>
      <c r="J15" s="3">
        <f t="shared" si="0"/>
        <v>6000</v>
      </c>
      <c r="K15" s="3" t="s">
        <v>105</v>
      </c>
      <c r="L15" s="3" t="s">
        <v>106</v>
      </c>
    </row>
    <row r="16" ht="34" spans="1:12">
      <c r="A16" s="3" t="s">
        <v>107</v>
      </c>
      <c r="B16" s="3" t="s">
        <v>30</v>
      </c>
      <c r="C16" s="3" t="s">
        <v>9</v>
      </c>
      <c r="D16" s="3" t="s">
        <v>108</v>
      </c>
      <c r="E16" s="3" t="s">
        <v>109</v>
      </c>
      <c r="F16" s="3" t="s">
        <v>110</v>
      </c>
      <c r="G16" s="3" t="s">
        <v>34</v>
      </c>
      <c r="H16" s="4">
        <v>2</v>
      </c>
      <c r="I16" s="3">
        <v>2000</v>
      </c>
      <c r="J16" s="3">
        <f t="shared" si="0"/>
        <v>4000</v>
      </c>
      <c r="K16" s="3" t="s">
        <v>111</v>
      </c>
      <c r="L16" s="3" t="s">
        <v>112</v>
      </c>
    </row>
    <row r="17" ht="17" spans="1:12">
      <c r="A17" s="3" t="s">
        <v>113</v>
      </c>
      <c r="B17" s="3" t="s">
        <v>30</v>
      </c>
      <c r="C17" s="3" t="s">
        <v>9</v>
      </c>
      <c r="D17" s="3" t="s">
        <v>114</v>
      </c>
      <c r="E17" s="3" t="s">
        <v>115</v>
      </c>
      <c r="F17" s="3" t="s">
        <v>116</v>
      </c>
      <c r="G17" s="3" t="s">
        <v>34</v>
      </c>
      <c r="H17" s="4">
        <v>2</v>
      </c>
      <c r="I17" s="3">
        <v>2000</v>
      </c>
      <c r="J17" s="3">
        <f t="shared" si="0"/>
        <v>4000</v>
      </c>
      <c r="K17" s="3" t="s">
        <v>40</v>
      </c>
      <c r="L17" s="3" t="s">
        <v>117</v>
      </c>
    </row>
    <row r="18" ht="34" spans="1:12">
      <c r="A18" s="3" t="s">
        <v>118</v>
      </c>
      <c r="B18" s="3" t="s">
        <v>30</v>
      </c>
      <c r="C18" s="3" t="s">
        <v>9</v>
      </c>
      <c r="D18" s="3" t="s">
        <v>119</v>
      </c>
      <c r="E18" s="3" t="s">
        <v>120</v>
      </c>
      <c r="F18" s="3" t="s">
        <v>121</v>
      </c>
      <c r="G18" s="3" t="s">
        <v>34</v>
      </c>
      <c r="H18" s="4">
        <v>12</v>
      </c>
      <c r="I18" s="3">
        <v>1500</v>
      </c>
      <c r="J18" s="3">
        <f t="shared" si="0"/>
        <v>18000</v>
      </c>
      <c r="K18" s="3" t="s">
        <v>122</v>
      </c>
      <c r="L18" s="3" t="s">
        <v>123</v>
      </c>
    </row>
    <row r="19" ht="17" spans="1:12">
      <c r="A19" s="3" t="s">
        <v>124</v>
      </c>
      <c r="B19" s="3" t="s">
        <v>125</v>
      </c>
      <c r="C19" s="3" t="s">
        <v>9</v>
      </c>
      <c r="D19" s="3" t="s">
        <v>126</v>
      </c>
      <c r="E19" s="3" t="s">
        <v>127</v>
      </c>
      <c r="F19" s="3" t="s">
        <v>128</v>
      </c>
      <c r="G19" s="3" t="s">
        <v>34</v>
      </c>
      <c r="H19" s="4">
        <v>1</v>
      </c>
      <c r="I19" s="3">
        <v>2000</v>
      </c>
      <c r="J19" s="3">
        <f t="shared" si="0"/>
        <v>2000</v>
      </c>
      <c r="K19" s="3" t="s">
        <v>129</v>
      </c>
      <c r="L19" s="3" t="s">
        <v>130</v>
      </c>
    </row>
    <row r="20" ht="34" spans="1:12">
      <c r="A20" s="3" t="s">
        <v>131</v>
      </c>
      <c r="B20" s="3" t="s">
        <v>125</v>
      </c>
      <c r="C20" s="3" t="s">
        <v>9</v>
      </c>
      <c r="D20" s="3" t="s">
        <v>60</v>
      </c>
      <c r="E20" s="3" t="s">
        <v>132</v>
      </c>
      <c r="F20" s="3" t="s">
        <v>133</v>
      </c>
      <c r="G20" s="3" t="s">
        <v>34</v>
      </c>
      <c r="H20" s="4">
        <v>22</v>
      </c>
      <c r="I20" s="3">
        <v>1500</v>
      </c>
      <c r="J20" s="3">
        <f t="shared" si="0"/>
        <v>33000</v>
      </c>
      <c r="K20" s="3" t="s">
        <v>134</v>
      </c>
      <c r="L20" s="3" t="s">
        <v>130</v>
      </c>
    </row>
    <row r="21" ht="17" spans="1:12">
      <c r="A21" s="3" t="s">
        <v>135</v>
      </c>
      <c r="B21" s="3" t="s">
        <v>30</v>
      </c>
      <c r="C21" s="3" t="s">
        <v>10</v>
      </c>
      <c r="D21" s="3" t="s">
        <v>136</v>
      </c>
      <c r="E21" s="3" t="s">
        <v>137</v>
      </c>
      <c r="F21" s="3" t="s">
        <v>138</v>
      </c>
      <c r="G21" s="3" t="s">
        <v>34</v>
      </c>
      <c r="H21" s="4">
        <v>12</v>
      </c>
      <c r="I21" s="3">
        <v>1500</v>
      </c>
      <c r="J21" s="3">
        <f t="shared" si="0"/>
        <v>18000</v>
      </c>
      <c r="K21" s="3" t="s">
        <v>139</v>
      </c>
      <c r="L21" s="3" t="s">
        <v>140</v>
      </c>
    </row>
    <row r="22" ht="17" spans="1:12">
      <c r="A22" s="3" t="s">
        <v>141</v>
      </c>
      <c r="B22" s="3" t="s">
        <v>30</v>
      </c>
      <c r="C22" s="3" t="s">
        <v>10</v>
      </c>
      <c r="D22" s="3" t="s">
        <v>142</v>
      </c>
      <c r="E22" s="3" t="s">
        <v>143</v>
      </c>
      <c r="F22" s="3" t="s">
        <v>144</v>
      </c>
      <c r="G22" s="3" t="s">
        <v>34</v>
      </c>
      <c r="H22" s="4">
        <v>12</v>
      </c>
      <c r="I22" s="3">
        <v>1500</v>
      </c>
      <c r="J22" s="3">
        <f t="shared" si="0"/>
        <v>18000</v>
      </c>
      <c r="K22" s="3" t="s">
        <v>145</v>
      </c>
      <c r="L22" s="3" t="s">
        <v>146</v>
      </c>
    </row>
    <row r="23" ht="17" spans="1:12">
      <c r="A23" s="3" t="s">
        <v>147</v>
      </c>
      <c r="B23" s="3" t="s">
        <v>30</v>
      </c>
      <c r="C23" s="3" t="s">
        <v>10</v>
      </c>
      <c r="D23" s="3" t="s">
        <v>148</v>
      </c>
      <c r="E23" s="3" t="s">
        <v>149</v>
      </c>
      <c r="F23" s="3" t="s">
        <v>150</v>
      </c>
      <c r="G23" s="3" t="s">
        <v>34</v>
      </c>
      <c r="H23" s="4">
        <v>12</v>
      </c>
      <c r="I23" s="3">
        <v>1500</v>
      </c>
      <c r="J23" s="3">
        <f t="shared" si="0"/>
        <v>18000</v>
      </c>
      <c r="K23" s="3" t="s">
        <v>151</v>
      </c>
      <c r="L23" s="3" t="s">
        <v>152</v>
      </c>
    </row>
    <row r="24" ht="17" spans="1:12">
      <c r="A24" s="3" t="s">
        <v>153</v>
      </c>
      <c r="B24" s="3" t="s">
        <v>30</v>
      </c>
      <c r="C24" s="3" t="s">
        <v>10</v>
      </c>
      <c r="D24" s="3" t="s">
        <v>154</v>
      </c>
      <c r="E24" s="3" t="s">
        <v>155</v>
      </c>
      <c r="F24" s="3" t="s">
        <v>156</v>
      </c>
      <c r="G24" s="3" t="s">
        <v>34</v>
      </c>
      <c r="H24" s="4">
        <v>12</v>
      </c>
      <c r="I24" s="3">
        <v>1500</v>
      </c>
      <c r="J24" s="3">
        <f t="shared" si="0"/>
        <v>18000</v>
      </c>
      <c r="K24" s="3" t="s">
        <v>157</v>
      </c>
      <c r="L24" s="3" t="s">
        <v>158</v>
      </c>
    </row>
    <row r="25" ht="34" spans="1:12">
      <c r="A25" s="3" t="s">
        <v>159</v>
      </c>
      <c r="B25" s="3" t="s">
        <v>30</v>
      </c>
      <c r="C25" s="3" t="s">
        <v>10</v>
      </c>
      <c r="D25" s="3" t="s">
        <v>160</v>
      </c>
      <c r="E25" s="3" t="s">
        <v>161</v>
      </c>
      <c r="F25" s="3" t="s">
        <v>162</v>
      </c>
      <c r="G25" s="3" t="s">
        <v>34</v>
      </c>
      <c r="H25" s="4">
        <v>12</v>
      </c>
      <c r="I25" s="3">
        <v>1500</v>
      </c>
      <c r="J25" s="3">
        <f t="shared" si="0"/>
        <v>18000</v>
      </c>
      <c r="K25" s="3" t="s">
        <v>163</v>
      </c>
      <c r="L25" s="3" t="s">
        <v>164</v>
      </c>
    </row>
    <row r="26" ht="34" spans="1:12">
      <c r="A26" s="3" t="s">
        <v>165</v>
      </c>
      <c r="B26" s="3" t="s">
        <v>30</v>
      </c>
      <c r="C26" s="3" t="s">
        <v>10</v>
      </c>
      <c r="D26" s="3" t="s">
        <v>166</v>
      </c>
      <c r="E26" s="3" t="s">
        <v>167</v>
      </c>
      <c r="F26" s="3" t="s">
        <v>168</v>
      </c>
      <c r="G26" s="3" t="s">
        <v>34</v>
      </c>
      <c r="H26" s="4">
        <v>12</v>
      </c>
      <c r="I26" s="3">
        <v>1500</v>
      </c>
      <c r="J26" s="3">
        <f t="shared" si="0"/>
        <v>18000</v>
      </c>
      <c r="K26" s="3" t="s">
        <v>169</v>
      </c>
      <c r="L26" s="3" t="s">
        <v>170</v>
      </c>
    </row>
    <row r="27" ht="17" spans="1:12">
      <c r="A27" s="3" t="s">
        <v>171</v>
      </c>
      <c r="B27" s="3" t="s">
        <v>30</v>
      </c>
      <c r="C27" s="3" t="s">
        <v>10</v>
      </c>
      <c r="D27" s="3" t="s">
        <v>172</v>
      </c>
      <c r="E27" s="3" t="s">
        <v>173</v>
      </c>
      <c r="F27" s="3" t="s">
        <v>174</v>
      </c>
      <c r="G27" s="3" t="s">
        <v>34</v>
      </c>
      <c r="H27" s="4">
        <v>12</v>
      </c>
      <c r="I27" s="3">
        <v>1500</v>
      </c>
      <c r="J27" s="3">
        <f t="shared" si="0"/>
        <v>18000</v>
      </c>
      <c r="K27" s="3" t="s">
        <v>175</v>
      </c>
      <c r="L27" s="3" t="s">
        <v>176</v>
      </c>
    </row>
    <row r="28" ht="17" spans="1:12">
      <c r="A28" s="3" t="s">
        <v>177</v>
      </c>
      <c r="B28" s="3" t="s">
        <v>125</v>
      </c>
      <c r="C28" s="3" t="s">
        <v>10</v>
      </c>
      <c r="D28" s="3" t="s">
        <v>178</v>
      </c>
      <c r="E28" s="3" t="s">
        <v>179</v>
      </c>
      <c r="F28" s="3" t="s">
        <v>180</v>
      </c>
      <c r="G28" s="3" t="s">
        <v>34</v>
      </c>
      <c r="H28" s="4">
        <v>22</v>
      </c>
      <c r="I28" s="3">
        <v>1500</v>
      </c>
      <c r="J28" s="3">
        <f t="shared" si="0"/>
        <v>33000</v>
      </c>
      <c r="K28" s="3" t="s">
        <v>181</v>
      </c>
      <c r="L28" s="3" t="s">
        <v>182</v>
      </c>
    </row>
    <row r="29" ht="34" spans="1:12">
      <c r="A29" s="3" t="s">
        <v>183</v>
      </c>
      <c r="B29" s="3" t="s">
        <v>30</v>
      </c>
      <c r="C29" s="3" t="s">
        <v>11</v>
      </c>
      <c r="D29" s="3" t="s">
        <v>184</v>
      </c>
      <c r="E29" s="3" t="s">
        <v>185</v>
      </c>
      <c r="F29" s="3" t="s">
        <v>186</v>
      </c>
      <c r="G29" s="3" t="s">
        <v>34</v>
      </c>
      <c r="H29" s="4">
        <v>12</v>
      </c>
      <c r="I29" s="3">
        <v>1500</v>
      </c>
      <c r="J29" s="3">
        <f t="shared" si="0"/>
        <v>18000</v>
      </c>
      <c r="K29" s="3" t="s">
        <v>187</v>
      </c>
      <c r="L29" s="3" t="s">
        <v>188</v>
      </c>
    </row>
    <row r="30" ht="34" spans="1:12">
      <c r="A30" s="3" t="s">
        <v>189</v>
      </c>
      <c r="B30" s="3" t="s">
        <v>30</v>
      </c>
      <c r="C30" s="3" t="s">
        <v>11</v>
      </c>
      <c r="D30" s="3" t="s">
        <v>190</v>
      </c>
      <c r="E30" s="3" t="s">
        <v>191</v>
      </c>
      <c r="F30" s="3" t="s">
        <v>192</v>
      </c>
      <c r="G30" s="3" t="s">
        <v>34</v>
      </c>
      <c r="H30" s="4">
        <v>12</v>
      </c>
      <c r="I30" s="3">
        <v>1500</v>
      </c>
      <c r="J30" s="3">
        <f t="shared" si="0"/>
        <v>18000</v>
      </c>
      <c r="K30" s="3" t="s">
        <v>193</v>
      </c>
      <c r="L30" s="3" t="s">
        <v>194</v>
      </c>
    </row>
    <row r="31" ht="34" spans="1:12">
      <c r="A31" s="3" t="s">
        <v>195</v>
      </c>
      <c r="B31" s="3" t="s">
        <v>30</v>
      </c>
      <c r="C31" s="3" t="s">
        <v>11</v>
      </c>
      <c r="D31" s="3" t="s">
        <v>196</v>
      </c>
      <c r="E31" s="3" t="s">
        <v>197</v>
      </c>
      <c r="F31" s="3" t="s">
        <v>198</v>
      </c>
      <c r="G31" s="3" t="s">
        <v>34</v>
      </c>
      <c r="H31" s="4">
        <v>11</v>
      </c>
      <c r="I31" s="3">
        <v>1500</v>
      </c>
      <c r="J31" s="3">
        <f t="shared" si="0"/>
        <v>16500</v>
      </c>
      <c r="K31" s="3" t="s">
        <v>199</v>
      </c>
      <c r="L31" s="3" t="s">
        <v>200</v>
      </c>
    </row>
    <row r="32" ht="34" spans="1:12">
      <c r="A32" s="3" t="s">
        <v>201</v>
      </c>
      <c r="B32" s="3" t="s">
        <v>30</v>
      </c>
      <c r="C32" s="3" t="s">
        <v>11</v>
      </c>
      <c r="D32" s="3" t="s">
        <v>202</v>
      </c>
      <c r="E32" s="3" t="s">
        <v>203</v>
      </c>
      <c r="F32" s="3" t="s">
        <v>204</v>
      </c>
      <c r="G32" s="3" t="s">
        <v>34</v>
      </c>
      <c r="H32" s="4">
        <v>11</v>
      </c>
      <c r="I32" s="3">
        <v>1500</v>
      </c>
      <c r="J32" s="3">
        <f t="shared" si="0"/>
        <v>16500</v>
      </c>
      <c r="K32" s="3" t="s">
        <v>205</v>
      </c>
      <c r="L32" s="3" t="s">
        <v>206</v>
      </c>
    </row>
    <row r="33" ht="34" spans="1:12">
      <c r="A33" s="3" t="s">
        <v>207</v>
      </c>
      <c r="B33" s="3" t="s">
        <v>125</v>
      </c>
      <c r="C33" s="3" t="s">
        <v>11</v>
      </c>
      <c r="D33" s="3" t="s">
        <v>126</v>
      </c>
      <c r="E33" s="3" t="s">
        <v>208</v>
      </c>
      <c r="F33" s="3" t="s">
        <v>209</v>
      </c>
      <c r="G33" s="3" t="s">
        <v>34</v>
      </c>
      <c r="H33" s="4">
        <v>22</v>
      </c>
      <c r="I33" s="3">
        <v>1500</v>
      </c>
      <c r="J33" s="3">
        <f t="shared" si="0"/>
        <v>33000</v>
      </c>
      <c r="K33" s="3" t="s">
        <v>210</v>
      </c>
      <c r="L33" s="3" t="s">
        <v>130</v>
      </c>
    </row>
    <row r="34" ht="34" spans="1:12">
      <c r="A34" s="3" t="s">
        <v>211</v>
      </c>
      <c r="B34" s="3" t="s">
        <v>125</v>
      </c>
      <c r="C34" s="3" t="s">
        <v>11</v>
      </c>
      <c r="D34" s="3" t="s">
        <v>212</v>
      </c>
      <c r="E34" s="3" t="s">
        <v>213</v>
      </c>
      <c r="F34" s="3" t="s">
        <v>214</v>
      </c>
      <c r="G34" s="3" t="s">
        <v>34</v>
      </c>
      <c r="H34" s="4">
        <v>22</v>
      </c>
      <c r="I34" s="3">
        <v>1500</v>
      </c>
      <c r="J34" s="3">
        <f t="shared" si="0"/>
        <v>33000</v>
      </c>
      <c r="K34" s="3" t="s">
        <v>215</v>
      </c>
      <c r="L34" s="3" t="s">
        <v>130</v>
      </c>
    </row>
    <row r="35" ht="34" spans="1:12">
      <c r="A35" s="3" t="s">
        <v>216</v>
      </c>
      <c r="B35" s="3" t="s">
        <v>30</v>
      </c>
      <c r="C35" s="3" t="s">
        <v>11</v>
      </c>
      <c r="D35" s="3" t="s">
        <v>217</v>
      </c>
      <c r="E35" s="3" t="s">
        <v>218</v>
      </c>
      <c r="F35" s="3" t="s">
        <v>219</v>
      </c>
      <c r="G35" s="3" t="s">
        <v>34</v>
      </c>
      <c r="H35" s="4">
        <v>11</v>
      </c>
      <c r="I35" s="3">
        <v>1500</v>
      </c>
      <c r="J35" s="3">
        <f t="shared" si="0"/>
        <v>16500</v>
      </c>
      <c r="K35" s="3" t="s">
        <v>220</v>
      </c>
      <c r="L35" s="3" t="s">
        <v>221</v>
      </c>
    </row>
    <row r="36" ht="34" spans="1:12">
      <c r="A36" s="3" t="s">
        <v>222</v>
      </c>
      <c r="B36" s="3" t="s">
        <v>30</v>
      </c>
      <c r="C36" s="3" t="s">
        <v>12</v>
      </c>
      <c r="D36" s="3" t="s">
        <v>223</v>
      </c>
      <c r="E36" s="3" t="s">
        <v>224</v>
      </c>
      <c r="F36" s="3" t="s">
        <v>225</v>
      </c>
      <c r="G36" s="3" t="s">
        <v>34</v>
      </c>
      <c r="H36" s="4">
        <v>11</v>
      </c>
      <c r="I36" s="3">
        <v>1500</v>
      </c>
      <c r="J36" s="3">
        <f t="shared" si="0"/>
        <v>16500</v>
      </c>
      <c r="K36" s="3" t="s">
        <v>226</v>
      </c>
      <c r="L36" s="3" t="s">
        <v>227</v>
      </c>
    </row>
    <row r="37" ht="34" spans="1:12">
      <c r="A37" s="3" t="s">
        <v>228</v>
      </c>
      <c r="B37" s="3" t="s">
        <v>30</v>
      </c>
      <c r="C37" s="3" t="s">
        <v>12</v>
      </c>
      <c r="D37" s="3" t="s">
        <v>229</v>
      </c>
      <c r="E37" s="3" t="s">
        <v>230</v>
      </c>
      <c r="F37" s="3" t="s">
        <v>231</v>
      </c>
      <c r="G37" s="3" t="s">
        <v>232</v>
      </c>
      <c r="H37" s="4">
        <v>1</v>
      </c>
      <c r="I37" s="3">
        <v>100000</v>
      </c>
      <c r="J37" s="3">
        <f t="shared" si="0"/>
        <v>100000</v>
      </c>
      <c r="K37" s="3" t="s">
        <v>233</v>
      </c>
      <c r="L37" s="3" t="s">
        <v>234</v>
      </c>
    </row>
    <row r="38" ht="34" spans="1:12">
      <c r="A38" s="3" t="s">
        <v>235</v>
      </c>
      <c r="B38" s="3" t="s">
        <v>30</v>
      </c>
      <c r="C38" s="3" t="s">
        <v>12</v>
      </c>
      <c r="D38" s="3" t="s">
        <v>236</v>
      </c>
      <c r="E38" s="3" t="s">
        <v>237</v>
      </c>
      <c r="F38" s="3" t="s">
        <v>238</v>
      </c>
      <c r="G38" s="3" t="s">
        <v>34</v>
      </c>
      <c r="H38" s="4">
        <v>2</v>
      </c>
      <c r="I38" s="3">
        <v>2000</v>
      </c>
      <c r="J38" s="3">
        <f t="shared" si="0"/>
        <v>4000</v>
      </c>
      <c r="K38" s="3" t="s">
        <v>239</v>
      </c>
      <c r="L38" s="3" t="s">
        <v>240</v>
      </c>
    </row>
    <row r="39" ht="17" spans="1:12">
      <c r="A39" s="3" t="s">
        <v>241</v>
      </c>
      <c r="B39" s="3" t="s">
        <v>30</v>
      </c>
      <c r="C39" s="3" t="s">
        <v>12</v>
      </c>
      <c r="D39" s="3" t="s">
        <v>242</v>
      </c>
      <c r="E39" s="3" t="s">
        <v>243</v>
      </c>
      <c r="F39" s="3" t="s">
        <v>244</v>
      </c>
      <c r="G39" s="3" t="s">
        <v>34</v>
      </c>
      <c r="H39" s="4">
        <v>1</v>
      </c>
      <c r="I39" s="3">
        <v>2000</v>
      </c>
      <c r="J39" s="3">
        <f t="shared" si="0"/>
        <v>2000</v>
      </c>
      <c r="K39" s="3" t="s">
        <v>245</v>
      </c>
      <c r="L39" s="3" t="s">
        <v>246</v>
      </c>
    </row>
    <row r="40" ht="34" spans="1:12">
      <c r="A40" s="3" t="s">
        <v>247</v>
      </c>
      <c r="B40" s="3" t="s">
        <v>30</v>
      </c>
      <c r="C40" s="3" t="s">
        <v>13</v>
      </c>
      <c r="D40" s="3" t="s">
        <v>248</v>
      </c>
      <c r="E40" s="3" t="s">
        <v>249</v>
      </c>
      <c r="F40" s="3" t="s">
        <v>250</v>
      </c>
      <c r="G40" s="3" t="s">
        <v>34</v>
      </c>
      <c r="H40" s="4">
        <v>2</v>
      </c>
      <c r="I40" s="3">
        <v>2000</v>
      </c>
      <c r="J40" s="3">
        <f t="shared" si="0"/>
        <v>4000</v>
      </c>
      <c r="K40" s="3" t="s">
        <v>251</v>
      </c>
      <c r="L40" s="3" t="s">
        <v>252</v>
      </c>
    </row>
    <row r="41" ht="34" spans="1:12">
      <c r="A41" s="3" t="s">
        <v>253</v>
      </c>
      <c r="B41" s="3" t="s">
        <v>30</v>
      </c>
      <c r="C41" s="3" t="s">
        <v>13</v>
      </c>
      <c r="D41" s="3" t="s">
        <v>254</v>
      </c>
      <c r="E41" s="3" t="s">
        <v>255</v>
      </c>
      <c r="F41" s="3" t="s">
        <v>256</v>
      </c>
      <c r="G41" s="3" t="s">
        <v>34</v>
      </c>
      <c r="H41" s="4">
        <v>2</v>
      </c>
      <c r="I41" s="3">
        <v>2000</v>
      </c>
      <c r="J41" s="3">
        <f t="shared" si="0"/>
        <v>4000</v>
      </c>
      <c r="K41" s="3" t="s">
        <v>257</v>
      </c>
      <c r="L41" s="3" t="s">
        <v>258</v>
      </c>
    </row>
    <row r="42" ht="34" spans="1:12">
      <c r="A42" s="3" t="s">
        <v>259</v>
      </c>
      <c r="B42" s="3" t="s">
        <v>125</v>
      </c>
      <c r="C42" s="3" t="s">
        <v>13</v>
      </c>
      <c r="D42" s="3" t="s">
        <v>260</v>
      </c>
      <c r="E42" s="3" t="s">
        <v>261</v>
      </c>
      <c r="F42" s="3" t="s">
        <v>262</v>
      </c>
      <c r="G42" s="3" t="s">
        <v>34</v>
      </c>
      <c r="H42" s="4">
        <v>22</v>
      </c>
      <c r="I42" s="3">
        <v>1500</v>
      </c>
      <c r="J42" s="3">
        <f t="shared" si="0"/>
        <v>33000</v>
      </c>
      <c r="K42" s="3" t="s">
        <v>263</v>
      </c>
      <c r="L42" s="3" t="s">
        <v>264</v>
      </c>
    </row>
    <row r="43" ht="34" spans="1:12">
      <c r="A43" s="3" t="s">
        <v>265</v>
      </c>
      <c r="B43" s="3" t="s">
        <v>30</v>
      </c>
      <c r="C43" s="3" t="s">
        <v>13</v>
      </c>
      <c r="D43" s="3" t="s">
        <v>266</v>
      </c>
      <c r="E43" s="3" t="s">
        <v>267</v>
      </c>
      <c r="F43" s="3" t="s">
        <v>268</v>
      </c>
      <c r="G43" s="3" t="s">
        <v>34</v>
      </c>
      <c r="H43" s="4">
        <v>8</v>
      </c>
      <c r="I43" s="3">
        <v>1200</v>
      </c>
      <c r="J43" s="3">
        <f t="shared" si="0"/>
        <v>9600</v>
      </c>
      <c r="K43" s="3" t="s">
        <v>269</v>
      </c>
      <c r="L43" s="3" t="s">
        <v>270</v>
      </c>
    </row>
    <row r="44" ht="34" spans="1:12">
      <c r="A44" s="3" t="s">
        <v>271</v>
      </c>
      <c r="B44" s="3" t="s">
        <v>125</v>
      </c>
      <c r="C44" s="3" t="s">
        <v>13</v>
      </c>
      <c r="D44" s="3" t="s">
        <v>272</v>
      </c>
      <c r="E44" s="3" t="s">
        <v>273</v>
      </c>
      <c r="F44" s="3" t="s">
        <v>274</v>
      </c>
      <c r="G44" s="3" t="s">
        <v>34</v>
      </c>
      <c r="H44" s="4">
        <v>22</v>
      </c>
      <c r="I44" s="3">
        <v>1500</v>
      </c>
      <c r="J44" s="3">
        <f t="shared" si="0"/>
        <v>33000</v>
      </c>
      <c r="K44" s="3" t="s">
        <v>275</v>
      </c>
      <c r="L44" s="3" t="s">
        <v>276</v>
      </c>
    </row>
    <row r="45" ht="34" spans="1:12">
      <c r="A45" s="3" t="s">
        <v>277</v>
      </c>
      <c r="B45" s="3" t="s">
        <v>30</v>
      </c>
      <c r="C45" s="3" t="s">
        <v>14</v>
      </c>
      <c r="D45" s="3" t="s">
        <v>278</v>
      </c>
      <c r="E45" s="3" t="s">
        <v>279</v>
      </c>
      <c r="F45" s="3" t="s">
        <v>280</v>
      </c>
      <c r="G45" s="3" t="s">
        <v>34</v>
      </c>
      <c r="H45" s="4">
        <v>1</v>
      </c>
      <c r="I45" s="3">
        <v>2000</v>
      </c>
      <c r="J45" s="3">
        <f t="shared" si="0"/>
        <v>2000</v>
      </c>
      <c r="K45" s="3" t="s">
        <v>281</v>
      </c>
      <c r="L45" s="3" t="s">
        <v>282</v>
      </c>
    </row>
    <row r="46" ht="34" spans="1:12">
      <c r="A46" s="3" t="s">
        <v>283</v>
      </c>
      <c r="B46" s="3" t="s">
        <v>30</v>
      </c>
      <c r="C46" s="3" t="s">
        <v>15</v>
      </c>
      <c r="D46" s="3" t="s">
        <v>284</v>
      </c>
      <c r="E46" s="3" t="s">
        <v>285</v>
      </c>
      <c r="F46" s="3" t="s">
        <v>286</v>
      </c>
      <c r="G46" s="3" t="s">
        <v>34</v>
      </c>
      <c r="H46" s="4">
        <v>8</v>
      </c>
      <c r="I46" s="3">
        <v>1200</v>
      </c>
      <c r="J46" s="3">
        <f t="shared" si="0"/>
        <v>9600</v>
      </c>
      <c r="K46" s="3" t="s">
        <v>40</v>
      </c>
      <c r="L46" s="3" t="s">
        <v>287</v>
      </c>
    </row>
    <row r="47" ht="34" spans="1:12">
      <c r="A47" s="3" t="s">
        <v>288</v>
      </c>
      <c r="B47" s="3" t="s">
        <v>30</v>
      </c>
      <c r="C47" s="3" t="s">
        <v>15</v>
      </c>
      <c r="D47" s="3" t="s">
        <v>289</v>
      </c>
      <c r="E47" s="3" t="s">
        <v>290</v>
      </c>
      <c r="F47" s="3" t="s">
        <v>291</v>
      </c>
      <c r="G47" s="3" t="s">
        <v>34</v>
      </c>
      <c r="H47" s="4">
        <v>40</v>
      </c>
      <c r="I47" s="3">
        <v>1400</v>
      </c>
      <c r="J47" s="3">
        <f t="shared" si="0"/>
        <v>56000</v>
      </c>
      <c r="K47" s="3" t="s">
        <v>40</v>
      </c>
      <c r="L47" s="3" t="s">
        <v>292</v>
      </c>
    </row>
  </sheetData>
  <autoFilter xmlns:etc="http://www.wps.cn/officeDocument/2017/etCustomData" ref="A1:L4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6" sqref="B6"/>
    </sheetView>
  </sheetViews>
  <sheetFormatPr defaultColWidth="9" defaultRowHeight="16.8" outlineLevelRow="7" outlineLevelCol="1"/>
  <cols>
    <col min="1" max="1" width="18" customWidth="1"/>
    <col min="2" max="2" width="72" customWidth="1"/>
  </cols>
  <sheetData>
    <row r="1" spans="1:2">
      <c r="A1" s="1" t="s">
        <v>293</v>
      </c>
      <c r="B1" s="1" t="s">
        <v>294</v>
      </c>
    </row>
    <row r="2" spans="1:2">
      <c r="A2" t="s">
        <v>295</v>
      </c>
      <c r="B2" t="s">
        <v>296</v>
      </c>
    </row>
    <row r="3" spans="1:2">
      <c r="A3" t="s">
        <v>297</v>
      </c>
      <c r="B3" t="s">
        <v>298</v>
      </c>
    </row>
    <row r="4" spans="1:2">
      <c r="A4" t="s">
        <v>297</v>
      </c>
      <c r="B4" t="s">
        <v>299</v>
      </c>
    </row>
    <row r="5" spans="1:2">
      <c r="A5" t="s">
        <v>297</v>
      </c>
      <c r="B5" t="s">
        <v>300</v>
      </c>
    </row>
    <row r="6" spans="1:2">
      <c r="A6" t="s">
        <v>297</v>
      </c>
      <c r="B6" t="s">
        <v>301</v>
      </c>
    </row>
    <row r="7" spans="1:2">
      <c r="A7" t="s">
        <v>302</v>
      </c>
      <c r="B7" t="s">
        <v>303</v>
      </c>
    </row>
    <row r="8" spans="1:2">
      <c r="A8" t="s">
        <v>304</v>
      </c>
      <c r="B8" t="s">
        <v>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总览</vt:lpstr>
      <vt:lpstr>明细报价</vt:lpstr>
      <vt:lpstr>假设与不包含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要相信科学</cp:lastModifiedBy>
  <dcterms:created xsi:type="dcterms:W3CDTF">2026-03-27T10:26:00Z</dcterms:created>
  <dcterms:modified xsi:type="dcterms:W3CDTF">2026-03-27T10:37:54Z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61538BB90FB9521AD6ECC569D71FAA54_42</vt:lpwstr>
  </property>
</Properties>
</file>