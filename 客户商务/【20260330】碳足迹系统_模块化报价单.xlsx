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420"/>
  </bookViews>
  <sheets>
    <sheet name="功能分解与报价" sheetId="1" r:id="rId1"/>
  </sheets>
  <definedNames>
    <definedName name="_xlnm._FilterDatabase" localSheetId="0" hidden="1">功能分解与报价!$A$1:$I$46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<sst xmlns="http://schemas.openxmlformats.org/spreadsheetml/2006/main" count="263" uniqueCount="148">
  <si>
    <t>钢铁行业产业链碳足迹数据服务系统</t>
  </si>
  <si>
    <t>编号</t>
  </si>
  <si>
    <t>应用模块</t>
  </si>
  <si>
    <t>一级功能</t>
  </si>
  <si>
    <t>二级功能</t>
  </si>
  <si>
    <t>功能点</t>
  </si>
  <si>
    <t>阶段</t>
  </si>
  <si>
    <t>单价(元)</t>
  </si>
  <si>
    <t>数量</t>
  </si>
  <si>
    <t>金额(元)</t>
  </si>
  <si>
    <t>Q-PLAT-001</t>
  </si>
  <si>
    <t>M09 平台治理与安全基座</t>
  </si>
  <si>
    <t>平台与基础</t>
  </si>
  <si>
    <t>RBAC与系统管理</t>
  </si>
  <si>
    <t>角色权限矩阵与系统管理</t>
  </si>
  <si>
    <t>第一阶段交付</t>
  </si>
  <si>
    <t>Q-PLAT-002</t>
  </si>
  <si>
    <t>关键操作日志</t>
  </si>
  <si>
    <t>Q-PLAT-003</t>
  </si>
  <si>
    <t>基础服务</t>
  </si>
  <si>
    <t>文件存储与上传策略</t>
  </si>
  <si>
    <t>Q-PORT-001</t>
  </si>
  <si>
    <t>M01 门户与品牌入口</t>
  </si>
  <si>
    <t>门户与统一入口</t>
  </si>
  <si>
    <t>系统门户</t>
  </si>
  <si>
    <t>双碳运营平台门户与多服务入口</t>
  </si>
  <si>
    <t>Q-PORT-002</t>
  </si>
  <si>
    <t>产品碳足迹门户</t>
  </si>
  <si>
    <t>产品碳足迹二级门户与三端入口</t>
  </si>
  <si>
    <t>Q-OPS-001</t>
  </si>
  <si>
    <t>M02 订单与任务编排</t>
  </si>
  <si>
    <t>运营管理端</t>
  </si>
  <si>
    <t>运营驾驶舱</t>
  </si>
  <si>
    <t>简版 KPI、数据流、快捷入口</t>
  </si>
  <si>
    <t>Q-OPS-002</t>
  </si>
  <si>
    <t>订单管理</t>
  </si>
  <si>
    <t>订单四态与「确认并分配任务」</t>
  </si>
  <si>
    <t>Q-OPS-003</t>
  </si>
  <si>
    <t>任务管理</t>
  </si>
  <si>
    <t>任务列表（五段）与阶段跳转</t>
  </si>
  <si>
    <t>Q-OPS-004</t>
  </si>
  <si>
    <t>任务详情-配置阶段</t>
  </si>
  <si>
    <t>Q-OPS-005</t>
  </si>
  <si>
    <t>任务详情-采集审核</t>
  </si>
  <si>
    <t>Q-OPS-006</t>
  </si>
  <si>
    <t>任务详情-LCA计算</t>
  </si>
  <si>
    <t>Q-OPS-007</t>
  </si>
  <si>
    <t>任务详情-核查协作</t>
  </si>
  <si>
    <t>Q-OPS-008</t>
  </si>
  <si>
    <t>任务工作台</t>
  </si>
  <si>
    <t>Q-OPS-009</t>
  </si>
  <si>
    <t>M07 报告与证书全周期</t>
  </si>
  <si>
    <t>报告管理</t>
  </si>
  <si>
    <t>用印版、下发、申诉处理、归档</t>
  </si>
  <si>
    <t>Q-OPS-010</t>
  </si>
  <si>
    <t>M08 生态主数据</t>
  </si>
  <si>
    <t>供应商管理</t>
  </si>
  <si>
    <t>供应商CRM与详情、证照视图</t>
  </si>
  <si>
    <t>Q-OPS-011</t>
  </si>
  <si>
    <t>核查机构管理</t>
  </si>
  <si>
    <t>核查机构与策略维护</t>
  </si>
  <si>
    <t>Q-OPS-012</t>
  </si>
  <si>
    <t>M03 模板与结构化采集</t>
  </si>
  <si>
    <t>模板中心</t>
  </si>
  <si>
    <t>采集模板维护与任务绑定</t>
  </si>
  <si>
    <t>Q-OPS-013</t>
  </si>
  <si>
    <t>结算中心</t>
  </si>
  <si>
    <t>结算单与确认（完整实现）</t>
  </si>
  <si>
    <t>第二阶段交付</t>
  </si>
  <si>
    <t>Q-OPS-014</t>
  </si>
  <si>
    <t>驾驶舱完整版（整体）</t>
  </si>
  <si>
    <t>Q-SUP-001</t>
  </si>
  <si>
    <t>供应商工作台</t>
  </si>
  <si>
    <t>工作台</t>
  </si>
  <si>
    <t>概览与快捷入口</t>
  </si>
  <si>
    <t>Q-SUP-002</t>
  </si>
  <si>
    <t>待办任务</t>
  </si>
  <si>
    <t>列表与跳转填报/澄清</t>
  </si>
  <si>
    <t>Q-SUP-003</t>
  </si>
  <si>
    <t>任务填报</t>
  </si>
  <si>
    <t>填报与凭证上传</t>
  </si>
  <si>
    <t>Q-SUP-004</t>
  </si>
  <si>
    <t>M04 协同与澄清</t>
  </si>
  <si>
    <t>待澄清处理</t>
  </si>
  <si>
    <t>回复与佐证上传</t>
  </si>
  <si>
    <t>Q-SUP-005</t>
  </si>
  <si>
    <t>我的报告</t>
  </si>
  <si>
    <t>预览、确认接收、申诉</t>
  </si>
  <si>
    <t>Q-SUP-006</t>
  </si>
  <si>
    <t>企业信息与证照</t>
  </si>
  <si>
    <t>维护/提交空间同步</t>
  </si>
  <si>
    <t>Q-SUP-007</t>
  </si>
  <si>
    <t>知识库与帮助</t>
  </si>
  <si>
    <t>帮助与知识库入口</t>
  </si>
  <si>
    <t>Q-SUP-008</t>
  </si>
  <si>
    <t>绿色生态市场</t>
  </si>
  <si>
    <t>Q-CER-001</t>
  </si>
  <si>
    <t>M06 核查与认证协作</t>
  </si>
  <si>
    <t>认证核查机构工作台</t>
  </si>
  <si>
    <t>核查仪表盘</t>
  </si>
  <si>
    <t>KPI与任务队列等</t>
  </si>
  <si>
    <t>Q-CER-002</t>
  </si>
  <si>
    <t>核查任务列表</t>
  </si>
  <si>
    <t>列表与跳转详情</t>
  </si>
  <si>
    <t>Q-CER-003</t>
  </si>
  <si>
    <t>核查任务详情</t>
  </si>
  <si>
    <t>证照与报告只读、通过/驳回/澄清</t>
  </si>
  <si>
    <t>Q-CER-004</t>
  </si>
  <si>
    <t>证书颁发管理</t>
  </si>
  <si>
    <t>证书记录列表与查看</t>
  </si>
  <si>
    <t>Q-CER-005</t>
  </si>
  <si>
    <t>结算单列表与确认</t>
  </si>
  <si>
    <t>Q-CER-006</t>
  </si>
  <si>
    <t>机构管理</t>
  </si>
  <si>
    <t>人员与成员管理</t>
  </si>
  <si>
    <t>Q-CER-007</t>
  </si>
  <si>
    <t>身份与登录</t>
  </si>
  <si>
    <t>正式环境登录与权限接入</t>
  </si>
  <si>
    <t>Q-X-001</t>
  </si>
  <si>
    <t>横向能力</t>
  </si>
  <si>
    <t>模板与表格引擎</t>
  </si>
  <si>
    <t>模板解析、Snapshot、填报渲染</t>
  </si>
  <si>
    <t>Q-X-002</t>
  </si>
  <si>
    <t>第三方费用</t>
  </si>
  <si>
    <t>GrapeCity SpreadJS 商业授权</t>
  </si>
  <si>
    <t>Q-X-003</t>
  </si>
  <si>
    <t>澄清与消息</t>
  </si>
  <si>
    <t>驳回/澄清/异议与消息可见性</t>
  </si>
  <si>
    <t>Q-X-004</t>
  </si>
  <si>
    <t>任务详情统一</t>
  </si>
  <si>
    <t>统一布局/子页与组件</t>
  </si>
  <si>
    <t>Q-INT-001</t>
  </si>
  <si>
    <t>M10 连接与体系互操作</t>
  </si>
  <si>
    <t>集成与对接</t>
  </si>
  <si>
    <t>商城订单</t>
  </si>
  <si>
    <t>鑫采商城订单集成（视接口成熟度）</t>
  </si>
  <si>
    <t>Q-INT-002</t>
  </si>
  <si>
    <t>M05 LCA 与计算衔接</t>
  </si>
  <si>
    <t>LCA 计算</t>
  </si>
  <si>
    <t>手工摆渡方案与接口预留</t>
  </si>
  <si>
    <t>Q-INT-003</t>
  </si>
  <si>
    <t>擎工 SaaS</t>
  </si>
  <si>
    <t>任务下发、状态回调、结果回传</t>
  </si>
  <si>
    <t>Q-INT-005</t>
  </si>
  <si>
    <t>边端与混合流程</t>
  </si>
  <si>
    <t>轻量化部署与编排</t>
  </si>
  <si>
    <t>合计</t>
  </si>
  <si>
    <t>说明：人天工作量按 1500 元/人天计价；合计 466 人天，人工小计 699000 元；GrapeCity SpreadJS 商业授权一次性 100000 元；报价总计 799000 元。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</si>
</sst>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;_-* &quot;-&quot;??_-;_-@_-"/>
  </numFmts>
  <fonts count="24">
    <font>
      <sz val="11"/>
      <color theme="1"/>
      <name val="宋体"/>
      <charset val="134"/>
      <scheme val="minor"/>
    </font>
    <font>
      <b/>
      <sz val="18"/>
      <name val="微软雅黑"/>
      <charset val="134"/>
    </font>
    <font>
      <b/>
      <sz val="10.5"/>
      <color rgb="FFFFFFFF"/>
      <name val="微软雅黑"/>
      <charset val="134"/>
    </font>
    <font>
      <b/>
      <sz val="1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3" fontId="0" fillId="0" borderId="0" xfId="0" applyNumberFormat="1" applyAlignment="1">
      <alignment vertical="top" wrapText="1"/>
    </xf>
    <xf numFmtId="176" fontId="0" fillId="0" borderId="0" xfId="0" applyNumberFormat="1" applyAlignment="1">
      <alignment vertical="top" wrapText="1"/>
    </xf>
    <xf numFmtId="0" fontId="3" fillId="0" borderId="0" xfId="0" applyFont="1"/>
    <xf numFmtId="176" fontId="3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6"/>
  <sheetViews>
    <sheetView tabSelected="1" workbookViewId="0">
      <pane ySplit="2" topLeftCell="A3" activePane="bottomLeft" state="frozen"/>
      <selection/>
      <selection pane="bottomLeft" activeCell="C5" sqref="C5"/>
    </sheetView>
  </sheetViews>
  <sheetFormatPr defaultColWidth="49.0384615384615" defaultRowHeight="16.8"/>
  <cols>
    <col min="1" max="1" width="12.5" customWidth="1"/>
    <col min="2" max="2" width="24.6153846153846" customWidth="1"/>
    <col min="3" max="3" width="20.1923076923077" customWidth="1"/>
    <col min="4" max="4" width="17.1153846153846" customWidth="1"/>
    <col min="5" max="5" width="37.5" customWidth="1"/>
    <col min="6" max="6" width="13.8461538461538" customWidth="1"/>
    <col min="7" max="7" width="8.46153846153846" customWidth="1"/>
    <col min="8" max="8" width="5" customWidth="1"/>
    <col min="9" max="9" width="11.6923076923077" customWidth="1"/>
    <col min="10" max="16384" width="49.0384615384615" customWidth="1"/>
  </cols>
  <sheetData>
    <row r="1" ht="26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ht="34" spans="1:9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4">
        <v>1500</v>
      </c>
      <c r="H3" s="4">
        <v>10</v>
      </c>
      <c r="I3" s="5">
        <f t="shared" ref="I3:I48" si="0">G3*H3</f>
        <v>15000</v>
      </c>
    </row>
    <row r="4" ht="34" spans="1:9">
      <c r="A4" s="3" t="s">
        <v>16</v>
      </c>
      <c r="B4" s="3" t="s">
        <v>11</v>
      </c>
      <c r="C4" s="3" t="s">
        <v>12</v>
      </c>
      <c r="D4" s="3" t="s">
        <v>13</v>
      </c>
      <c r="E4" s="3" t="s">
        <v>17</v>
      </c>
      <c r="F4" s="3" t="s">
        <v>15</v>
      </c>
      <c r="G4" s="4">
        <v>1500</v>
      </c>
      <c r="H4" s="4">
        <v>8</v>
      </c>
      <c r="I4" s="5">
        <f t="shared" si="0"/>
        <v>12000</v>
      </c>
    </row>
    <row r="5" ht="34" spans="1:9">
      <c r="A5" s="3" t="s">
        <v>18</v>
      </c>
      <c r="B5" s="3" t="s">
        <v>11</v>
      </c>
      <c r="C5" s="3" t="s">
        <v>12</v>
      </c>
      <c r="D5" s="3" t="s">
        <v>19</v>
      </c>
      <c r="E5" s="3" t="s">
        <v>20</v>
      </c>
      <c r="F5" s="3" t="s">
        <v>15</v>
      </c>
      <c r="G5" s="4">
        <v>1500</v>
      </c>
      <c r="H5" s="4">
        <v>4</v>
      </c>
      <c r="I5" s="5">
        <f t="shared" si="0"/>
        <v>6000</v>
      </c>
    </row>
    <row r="6" ht="34" spans="1:9">
      <c r="A6" s="3" t="s">
        <v>21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15</v>
      </c>
      <c r="G6" s="4">
        <v>1500</v>
      </c>
      <c r="H6" s="4">
        <v>10</v>
      </c>
      <c r="I6" s="5">
        <f t="shared" si="0"/>
        <v>15000</v>
      </c>
    </row>
    <row r="7" ht="34" spans="1:9">
      <c r="A7" s="3" t="s">
        <v>26</v>
      </c>
      <c r="B7" s="3" t="s">
        <v>22</v>
      </c>
      <c r="C7" s="3" t="s">
        <v>23</v>
      </c>
      <c r="D7" s="3" t="s">
        <v>27</v>
      </c>
      <c r="E7" s="3" t="s">
        <v>28</v>
      </c>
      <c r="F7" s="3" t="s">
        <v>15</v>
      </c>
      <c r="G7" s="4">
        <v>1500</v>
      </c>
      <c r="H7" s="4">
        <v>10</v>
      </c>
      <c r="I7" s="5">
        <f t="shared" si="0"/>
        <v>15000</v>
      </c>
    </row>
    <row r="8" ht="34" spans="1:9">
      <c r="A8" s="3" t="s">
        <v>29</v>
      </c>
      <c r="B8" s="3" t="s">
        <v>30</v>
      </c>
      <c r="C8" s="3" t="s">
        <v>31</v>
      </c>
      <c r="D8" s="3" t="s">
        <v>32</v>
      </c>
      <c r="E8" s="3" t="s">
        <v>33</v>
      </c>
      <c r="F8" s="3" t="s">
        <v>15</v>
      </c>
      <c r="G8" s="4">
        <v>1500</v>
      </c>
      <c r="H8" s="4">
        <v>8</v>
      </c>
      <c r="I8" s="5">
        <f t="shared" si="0"/>
        <v>12000</v>
      </c>
    </row>
    <row r="9" ht="34" spans="1:9">
      <c r="A9" s="3" t="s">
        <v>34</v>
      </c>
      <c r="B9" s="3" t="s">
        <v>30</v>
      </c>
      <c r="C9" s="3" t="s">
        <v>31</v>
      </c>
      <c r="D9" s="3" t="s">
        <v>35</v>
      </c>
      <c r="E9" s="3" t="s">
        <v>36</v>
      </c>
      <c r="F9" s="3" t="s">
        <v>15</v>
      </c>
      <c r="G9" s="4">
        <v>1500</v>
      </c>
      <c r="H9" s="4">
        <v>4</v>
      </c>
      <c r="I9" s="5">
        <f t="shared" si="0"/>
        <v>6000</v>
      </c>
    </row>
    <row r="10" ht="34" spans="1:9">
      <c r="A10" s="3" t="s">
        <v>37</v>
      </c>
      <c r="B10" s="3" t="s">
        <v>30</v>
      </c>
      <c r="C10" s="3" t="s">
        <v>31</v>
      </c>
      <c r="D10" s="3" t="s">
        <v>38</v>
      </c>
      <c r="E10" s="3" t="s">
        <v>39</v>
      </c>
      <c r="F10" s="3" t="s">
        <v>15</v>
      </c>
      <c r="G10" s="4">
        <v>1500</v>
      </c>
      <c r="H10" s="4">
        <v>18</v>
      </c>
      <c r="I10" s="5">
        <f t="shared" si="0"/>
        <v>27000</v>
      </c>
    </row>
    <row r="11" ht="34" spans="1:9">
      <c r="A11" s="3" t="s">
        <v>40</v>
      </c>
      <c r="B11" s="3" t="s">
        <v>30</v>
      </c>
      <c r="C11" s="3" t="s">
        <v>31</v>
      </c>
      <c r="D11" s="3" t="s">
        <v>38</v>
      </c>
      <c r="E11" s="3" t="s">
        <v>41</v>
      </c>
      <c r="F11" s="3" t="s">
        <v>15</v>
      </c>
      <c r="G11" s="4">
        <v>1500</v>
      </c>
      <c r="H11" s="4">
        <v>8</v>
      </c>
      <c r="I11" s="5">
        <f t="shared" si="0"/>
        <v>12000</v>
      </c>
    </row>
    <row r="12" ht="34" spans="1:9">
      <c r="A12" s="3" t="s">
        <v>42</v>
      </c>
      <c r="B12" s="3" t="s">
        <v>30</v>
      </c>
      <c r="C12" s="3" t="s">
        <v>31</v>
      </c>
      <c r="D12" s="3" t="s">
        <v>38</v>
      </c>
      <c r="E12" s="3" t="s">
        <v>43</v>
      </c>
      <c r="F12" s="3" t="s">
        <v>15</v>
      </c>
      <c r="G12" s="4">
        <v>1500</v>
      </c>
      <c r="H12" s="4">
        <v>8</v>
      </c>
      <c r="I12" s="5">
        <f t="shared" si="0"/>
        <v>12000</v>
      </c>
    </row>
    <row r="13" ht="34" spans="1:9">
      <c r="A13" s="3" t="s">
        <v>44</v>
      </c>
      <c r="B13" s="3" t="s">
        <v>30</v>
      </c>
      <c r="C13" s="3" t="s">
        <v>31</v>
      </c>
      <c r="D13" s="3" t="s">
        <v>38</v>
      </c>
      <c r="E13" s="3" t="s">
        <v>45</v>
      </c>
      <c r="F13" s="3" t="s">
        <v>15</v>
      </c>
      <c r="G13" s="4">
        <v>1500</v>
      </c>
      <c r="H13" s="4">
        <v>8</v>
      </c>
      <c r="I13" s="5">
        <f t="shared" si="0"/>
        <v>12000</v>
      </c>
    </row>
    <row r="14" ht="34" spans="1:9">
      <c r="A14" s="3" t="s">
        <v>46</v>
      </c>
      <c r="B14" s="3" t="s">
        <v>30</v>
      </c>
      <c r="C14" s="3" t="s">
        <v>31</v>
      </c>
      <c r="D14" s="3" t="s">
        <v>38</v>
      </c>
      <c r="E14" s="3" t="s">
        <v>47</v>
      </c>
      <c r="F14" s="3" t="s">
        <v>15</v>
      </c>
      <c r="G14" s="4">
        <v>1500</v>
      </c>
      <c r="H14" s="4">
        <v>8</v>
      </c>
      <c r="I14" s="5">
        <f t="shared" si="0"/>
        <v>12000</v>
      </c>
    </row>
    <row r="15" ht="34" spans="1:9">
      <c r="A15" s="3" t="s">
        <v>48</v>
      </c>
      <c r="B15" s="3" t="s">
        <v>30</v>
      </c>
      <c r="C15" s="3" t="s">
        <v>31</v>
      </c>
      <c r="D15" s="3" t="s">
        <v>38</v>
      </c>
      <c r="E15" s="3" t="s">
        <v>49</v>
      </c>
      <c r="F15" s="3" t="s">
        <v>15</v>
      </c>
      <c r="G15" s="4">
        <v>1500</v>
      </c>
      <c r="H15" s="4">
        <v>8</v>
      </c>
      <c r="I15" s="5">
        <f t="shared" si="0"/>
        <v>12000</v>
      </c>
    </row>
    <row r="16" ht="34" spans="1:9">
      <c r="A16" s="3" t="s">
        <v>50</v>
      </c>
      <c r="B16" s="3" t="s">
        <v>51</v>
      </c>
      <c r="C16" s="3" t="s">
        <v>31</v>
      </c>
      <c r="D16" s="3" t="s">
        <v>52</v>
      </c>
      <c r="E16" s="3" t="s">
        <v>53</v>
      </c>
      <c r="F16" s="3" t="s">
        <v>15</v>
      </c>
      <c r="G16" s="4">
        <v>1500</v>
      </c>
      <c r="H16" s="4">
        <v>20</v>
      </c>
      <c r="I16" s="5">
        <f t="shared" si="0"/>
        <v>30000</v>
      </c>
    </row>
    <row r="17" ht="34" spans="1:9">
      <c r="A17" s="3" t="s">
        <v>54</v>
      </c>
      <c r="B17" s="3" t="s">
        <v>55</v>
      </c>
      <c r="C17" s="3" t="s">
        <v>31</v>
      </c>
      <c r="D17" s="3" t="s">
        <v>56</v>
      </c>
      <c r="E17" s="3" t="s">
        <v>57</v>
      </c>
      <c r="F17" s="3" t="s">
        <v>15</v>
      </c>
      <c r="G17" s="4">
        <v>1500</v>
      </c>
      <c r="H17" s="4">
        <v>6</v>
      </c>
      <c r="I17" s="5">
        <f t="shared" si="0"/>
        <v>9000</v>
      </c>
    </row>
    <row r="18" ht="34" spans="1:9">
      <c r="A18" s="3" t="s">
        <v>58</v>
      </c>
      <c r="B18" s="3" t="s">
        <v>55</v>
      </c>
      <c r="C18" s="3" t="s">
        <v>31</v>
      </c>
      <c r="D18" s="3" t="s">
        <v>59</v>
      </c>
      <c r="E18" s="3" t="s">
        <v>60</v>
      </c>
      <c r="F18" s="3" t="s">
        <v>15</v>
      </c>
      <c r="G18" s="4">
        <v>1500</v>
      </c>
      <c r="H18" s="4">
        <v>6</v>
      </c>
      <c r="I18" s="5">
        <f t="shared" si="0"/>
        <v>9000</v>
      </c>
    </row>
    <row r="19" ht="34" spans="1:9">
      <c r="A19" s="3" t="s">
        <v>61</v>
      </c>
      <c r="B19" s="3" t="s">
        <v>62</v>
      </c>
      <c r="C19" s="3" t="s">
        <v>31</v>
      </c>
      <c r="D19" s="3" t="s">
        <v>63</v>
      </c>
      <c r="E19" s="3" t="s">
        <v>64</v>
      </c>
      <c r="F19" s="3" t="s">
        <v>15</v>
      </c>
      <c r="G19" s="4">
        <v>1500</v>
      </c>
      <c r="H19" s="4">
        <v>18</v>
      </c>
      <c r="I19" s="5">
        <f t="shared" si="0"/>
        <v>27000</v>
      </c>
    </row>
    <row r="20" ht="34" spans="1:9">
      <c r="A20" s="3" t="s">
        <v>65</v>
      </c>
      <c r="B20" s="3" t="s">
        <v>30</v>
      </c>
      <c r="C20" s="3" t="s">
        <v>31</v>
      </c>
      <c r="D20" s="3" t="s">
        <v>66</v>
      </c>
      <c r="E20" s="3" t="s">
        <v>67</v>
      </c>
      <c r="F20" s="3" t="s">
        <v>68</v>
      </c>
      <c r="G20" s="4">
        <v>1500</v>
      </c>
      <c r="H20" s="4">
        <v>30</v>
      </c>
      <c r="I20" s="5">
        <f t="shared" si="0"/>
        <v>45000</v>
      </c>
    </row>
    <row r="21" ht="34" spans="1:9">
      <c r="A21" s="3" t="s">
        <v>69</v>
      </c>
      <c r="B21" s="3" t="s">
        <v>30</v>
      </c>
      <c r="C21" s="3" t="s">
        <v>31</v>
      </c>
      <c r="D21" s="3" t="s">
        <v>32</v>
      </c>
      <c r="E21" s="3" t="s">
        <v>70</v>
      </c>
      <c r="F21" s="3" t="s">
        <v>68</v>
      </c>
      <c r="G21" s="4">
        <v>1500</v>
      </c>
      <c r="H21" s="4">
        <v>20</v>
      </c>
      <c r="I21" s="5">
        <f t="shared" si="0"/>
        <v>30000</v>
      </c>
    </row>
    <row r="22" ht="34" spans="1:9">
      <c r="A22" s="3" t="s">
        <v>71</v>
      </c>
      <c r="B22" s="3" t="s">
        <v>30</v>
      </c>
      <c r="C22" s="3" t="s">
        <v>72</v>
      </c>
      <c r="D22" s="3" t="s">
        <v>73</v>
      </c>
      <c r="E22" s="3" t="s">
        <v>74</v>
      </c>
      <c r="F22" s="3" t="s">
        <v>15</v>
      </c>
      <c r="G22" s="4">
        <v>1500</v>
      </c>
      <c r="H22" s="4">
        <v>6</v>
      </c>
      <c r="I22" s="5">
        <f t="shared" si="0"/>
        <v>9000</v>
      </c>
    </row>
    <row r="23" ht="34" spans="1:9">
      <c r="A23" s="3" t="s">
        <v>75</v>
      </c>
      <c r="B23" s="3" t="s">
        <v>30</v>
      </c>
      <c r="C23" s="3" t="s">
        <v>72</v>
      </c>
      <c r="D23" s="3" t="s">
        <v>76</v>
      </c>
      <c r="E23" s="3" t="s">
        <v>77</v>
      </c>
      <c r="F23" s="3" t="s">
        <v>15</v>
      </c>
      <c r="G23" s="4">
        <v>1500</v>
      </c>
      <c r="H23" s="4">
        <v>4</v>
      </c>
      <c r="I23" s="5">
        <f t="shared" si="0"/>
        <v>6000</v>
      </c>
    </row>
    <row r="24" ht="34" spans="1:9">
      <c r="A24" s="3" t="s">
        <v>78</v>
      </c>
      <c r="B24" s="3" t="s">
        <v>62</v>
      </c>
      <c r="C24" s="3" t="s">
        <v>72</v>
      </c>
      <c r="D24" s="3" t="s">
        <v>79</v>
      </c>
      <c r="E24" s="3" t="s">
        <v>80</v>
      </c>
      <c r="F24" s="3" t="s">
        <v>15</v>
      </c>
      <c r="G24" s="4">
        <v>1500</v>
      </c>
      <c r="H24" s="4">
        <v>6</v>
      </c>
      <c r="I24" s="5">
        <f t="shared" si="0"/>
        <v>9000</v>
      </c>
    </row>
    <row r="25" ht="34" spans="1:9">
      <c r="A25" s="3" t="s">
        <v>81</v>
      </c>
      <c r="B25" s="3" t="s">
        <v>82</v>
      </c>
      <c r="C25" s="3" t="s">
        <v>72</v>
      </c>
      <c r="D25" s="3" t="s">
        <v>83</v>
      </c>
      <c r="E25" s="3" t="s">
        <v>84</v>
      </c>
      <c r="F25" s="3" t="s">
        <v>15</v>
      </c>
      <c r="G25" s="4">
        <v>1500</v>
      </c>
      <c r="H25" s="4">
        <v>6</v>
      </c>
      <c r="I25" s="5">
        <f t="shared" si="0"/>
        <v>9000</v>
      </c>
    </row>
    <row r="26" ht="34" spans="1:9">
      <c r="A26" s="3" t="s">
        <v>85</v>
      </c>
      <c r="B26" s="3" t="s">
        <v>51</v>
      </c>
      <c r="C26" s="3" t="s">
        <v>72</v>
      </c>
      <c r="D26" s="3" t="s">
        <v>86</v>
      </c>
      <c r="E26" s="3" t="s">
        <v>87</v>
      </c>
      <c r="F26" s="3" t="s">
        <v>15</v>
      </c>
      <c r="G26" s="4">
        <v>1500</v>
      </c>
      <c r="H26" s="4">
        <v>6</v>
      </c>
      <c r="I26" s="5">
        <f t="shared" si="0"/>
        <v>9000</v>
      </c>
    </row>
    <row r="27" ht="34" spans="1:9">
      <c r="A27" s="3" t="s">
        <v>88</v>
      </c>
      <c r="B27" s="3" t="s">
        <v>55</v>
      </c>
      <c r="C27" s="3" t="s">
        <v>72</v>
      </c>
      <c r="D27" s="3" t="s">
        <v>89</v>
      </c>
      <c r="E27" s="3" t="s">
        <v>90</v>
      </c>
      <c r="F27" s="3" t="s">
        <v>15</v>
      </c>
      <c r="G27" s="4">
        <v>1500</v>
      </c>
      <c r="H27" s="4">
        <v>12</v>
      </c>
      <c r="I27" s="5">
        <f t="shared" si="0"/>
        <v>18000</v>
      </c>
    </row>
    <row r="28" ht="17" spans="1:9">
      <c r="A28" s="3" t="s">
        <v>91</v>
      </c>
      <c r="B28" s="3" t="s">
        <v>30</v>
      </c>
      <c r="C28" s="3" t="s">
        <v>72</v>
      </c>
      <c r="D28" s="3" t="s">
        <v>92</v>
      </c>
      <c r="E28" s="3" t="s">
        <v>93</v>
      </c>
      <c r="F28" s="3" t="s">
        <v>15</v>
      </c>
      <c r="G28" s="4">
        <v>1500</v>
      </c>
      <c r="H28" s="4">
        <v>6</v>
      </c>
      <c r="I28" s="5">
        <f t="shared" si="0"/>
        <v>9000</v>
      </c>
    </row>
    <row r="29" ht="17" spans="1:9">
      <c r="A29" s="3" t="s">
        <v>94</v>
      </c>
      <c r="B29" s="3" t="s">
        <v>30</v>
      </c>
      <c r="C29" s="3" t="s">
        <v>72</v>
      </c>
      <c r="D29" s="3" t="s">
        <v>95</v>
      </c>
      <c r="E29" s="3"/>
      <c r="F29" s="3" t="s">
        <v>68</v>
      </c>
      <c r="G29" s="4">
        <v>1500</v>
      </c>
      <c r="H29" s="4">
        <v>20</v>
      </c>
      <c r="I29" s="5">
        <f t="shared" si="0"/>
        <v>30000</v>
      </c>
    </row>
    <row r="30" ht="17" spans="1:9">
      <c r="A30" s="3" t="s">
        <v>96</v>
      </c>
      <c r="B30" s="3" t="s">
        <v>97</v>
      </c>
      <c r="C30" s="3" t="s">
        <v>98</v>
      </c>
      <c r="D30" s="3" t="s">
        <v>99</v>
      </c>
      <c r="E30" s="3" t="s">
        <v>100</v>
      </c>
      <c r="F30" s="3" t="s">
        <v>15</v>
      </c>
      <c r="G30" s="4">
        <v>1500</v>
      </c>
      <c r="H30" s="4">
        <v>6</v>
      </c>
      <c r="I30" s="5">
        <f t="shared" si="0"/>
        <v>9000</v>
      </c>
    </row>
    <row r="31" ht="34" spans="1:9">
      <c r="A31" s="3" t="s">
        <v>101</v>
      </c>
      <c r="B31" s="3" t="s">
        <v>97</v>
      </c>
      <c r="C31" s="3" t="s">
        <v>98</v>
      </c>
      <c r="D31" s="3" t="s">
        <v>102</v>
      </c>
      <c r="E31" s="3" t="s">
        <v>103</v>
      </c>
      <c r="F31" s="3" t="s">
        <v>15</v>
      </c>
      <c r="G31" s="4">
        <v>1500</v>
      </c>
      <c r="H31" s="4">
        <v>16</v>
      </c>
      <c r="I31" s="5">
        <f t="shared" si="0"/>
        <v>24000</v>
      </c>
    </row>
    <row r="32" ht="34" spans="1:9">
      <c r="A32" s="3" t="s">
        <v>104</v>
      </c>
      <c r="B32" s="3" t="s">
        <v>97</v>
      </c>
      <c r="C32" s="3" t="s">
        <v>98</v>
      </c>
      <c r="D32" s="3" t="s">
        <v>105</v>
      </c>
      <c r="E32" s="3" t="s">
        <v>106</v>
      </c>
      <c r="F32" s="3" t="s">
        <v>15</v>
      </c>
      <c r="G32" s="4">
        <v>1500</v>
      </c>
      <c r="H32" s="4">
        <v>16</v>
      </c>
      <c r="I32" s="5">
        <f t="shared" si="0"/>
        <v>24000</v>
      </c>
    </row>
    <row r="33" ht="34" spans="1:9">
      <c r="A33" s="3" t="s">
        <v>107</v>
      </c>
      <c r="B33" s="3" t="s">
        <v>51</v>
      </c>
      <c r="C33" s="3" t="s">
        <v>98</v>
      </c>
      <c r="D33" s="3" t="s">
        <v>108</v>
      </c>
      <c r="E33" s="3" t="s">
        <v>109</v>
      </c>
      <c r="F33" s="3" t="s">
        <v>15</v>
      </c>
      <c r="G33" s="4">
        <v>1500</v>
      </c>
      <c r="H33" s="4">
        <v>14</v>
      </c>
      <c r="I33" s="5">
        <f t="shared" si="0"/>
        <v>21000</v>
      </c>
    </row>
    <row r="34" ht="34" spans="1:9">
      <c r="A34" s="3" t="s">
        <v>110</v>
      </c>
      <c r="B34" s="3" t="s">
        <v>51</v>
      </c>
      <c r="C34" s="3" t="s">
        <v>98</v>
      </c>
      <c r="D34" s="3" t="s">
        <v>66</v>
      </c>
      <c r="E34" s="3" t="s">
        <v>111</v>
      </c>
      <c r="F34" s="3" t="s">
        <v>68</v>
      </c>
      <c r="G34" s="4">
        <v>1500</v>
      </c>
      <c r="H34" s="4">
        <v>16</v>
      </c>
      <c r="I34" s="5">
        <f t="shared" si="0"/>
        <v>24000</v>
      </c>
    </row>
    <row r="35" ht="34" spans="1:9">
      <c r="A35" s="3" t="s">
        <v>112</v>
      </c>
      <c r="B35" s="3" t="s">
        <v>97</v>
      </c>
      <c r="C35" s="3" t="s">
        <v>98</v>
      </c>
      <c r="D35" s="3" t="s">
        <v>113</v>
      </c>
      <c r="E35" s="3" t="s">
        <v>114</v>
      </c>
      <c r="F35" s="3" t="s">
        <v>68</v>
      </c>
      <c r="G35" s="4">
        <v>1500</v>
      </c>
      <c r="H35" s="4">
        <v>6</v>
      </c>
      <c r="I35" s="5">
        <f t="shared" si="0"/>
        <v>9000</v>
      </c>
    </row>
    <row r="36" ht="34" spans="1:9">
      <c r="A36" s="3" t="s">
        <v>115</v>
      </c>
      <c r="B36" s="3" t="s">
        <v>11</v>
      </c>
      <c r="C36" s="3" t="s">
        <v>98</v>
      </c>
      <c r="D36" s="3" t="s">
        <v>116</v>
      </c>
      <c r="E36" s="3" t="s">
        <v>117</v>
      </c>
      <c r="F36" s="3" t="s">
        <v>15</v>
      </c>
      <c r="G36" s="4">
        <v>1500</v>
      </c>
      <c r="H36" s="4">
        <v>8</v>
      </c>
      <c r="I36" s="5">
        <f t="shared" si="0"/>
        <v>12000</v>
      </c>
    </row>
    <row r="37" ht="34" spans="1:9">
      <c r="A37" s="3" t="s">
        <v>118</v>
      </c>
      <c r="B37" s="3" t="s">
        <v>62</v>
      </c>
      <c r="C37" s="3" t="s">
        <v>119</v>
      </c>
      <c r="D37" s="3" t="s">
        <v>120</v>
      </c>
      <c r="E37" s="3" t="s">
        <v>121</v>
      </c>
      <c r="F37" s="3" t="s">
        <v>15</v>
      </c>
      <c r="G37" s="4">
        <v>1500</v>
      </c>
      <c r="H37" s="4">
        <v>16</v>
      </c>
      <c r="I37" s="5">
        <f t="shared" si="0"/>
        <v>24000</v>
      </c>
    </row>
    <row r="38" ht="34" spans="1:9">
      <c r="A38" s="3" t="s">
        <v>122</v>
      </c>
      <c r="B38" s="3" t="s">
        <v>62</v>
      </c>
      <c r="C38" s="3" t="s">
        <v>119</v>
      </c>
      <c r="D38" s="3" t="s">
        <v>123</v>
      </c>
      <c r="E38" s="3" t="s">
        <v>124</v>
      </c>
      <c r="F38" s="3" t="s">
        <v>15</v>
      </c>
      <c r="G38" s="4">
        <v>100000</v>
      </c>
      <c r="H38" s="4">
        <v>1</v>
      </c>
      <c r="I38" s="5">
        <f t="shared" si="0"/>
        <v>100000</v>
      </c>
    </row>
    <row r="39" ht="34" spans="1:9">
      <c r="A39" s="3" t="s">
        <v>125</v>
      </c>
      <c r="B39" s="3" t="s">
        <v>82</v>
      </c>
      <c r="C39" s="3" t="s">
        <v>119</v>
      </c>
      <c r="D39" s="3" t="s">
        <v>126</v>
      </c>
      <c r="E39" s="3" t="s">
        <v>127</v>
      </c>
      <c r="F39" s="3" t="s">
        <v>15</v>
      </c>
      <c r="G39" s="4">
        <v>1500</v>
      </c>
      <c r="H39" s="4">
        <v>14</v>
      </c>
      <c r="I39" s="5">
        <f t="shared" si="0"/>
        <v>21000</v>
      </c>
    </row>
    <row r="40" ht="34" spans="1:9">
      <c r="A40" s="3" t="s">
        <v>128</v>
      </c>
      <c r="B40" s="3" t="s">
        <v>11</v>
      </c>
      <c r="C40" s="3" t="s">
        <v>119</v>
      </c>
      <c r="D40" s="3" t="s">
        <v>129</v>
      </c>
      <c r="E40" s="3" t="s">
        <v>130</v>
      </c>
      <c r="F40" s="3" t="s">
        <v>15</v>
      </c>
      <c r="G40" s="4">
        <v>1500</v>
      </c>
      <c r="H40" s="4">
        <v>4</v>
      </c>
      <c r="I40" s="5">
        <f t="shared" si="0"/>
        <v>6000</v>
      </c>
    </row>
    <row r="41" ht="34" spans="1:9">
      <c r="A41" s="3" t="s">
        <v>131</v>
      </c>
      <c r="B41" s="3" t="s">
        <v>132</v>
      </c>
      <c r="C41" s="3" t="s">
        <v>133</v>
      </c>
      <c r="D41" s="3" t="s">
        <v>134</v>
      </c>
      <c r="E41" s="3" t="s">
        <v>135</v>
      </c>
      <c r="F41" s="3" t="s">
        <v>15</v>
      </c>
      <c r="G41" s="4">
        <v>1500</v>
      </c>
      <c r="H41" s="4">
        <v>16</v>
      </c>
      <c r="I41" s="5">
        <f t="shared" si="0"/>
        <v>24000</v>
      </c>
    </row>
    <row r="42" ht="34" spans="1:9">
      <c r="A42" s="3" t="s">
        <v>136</v>
      </c>
      <c r="B42" s="3" t="s">
        <v>137</v>
      </c>
      <c r="C42" s="3" t="s">
        <v>133</v>
      </c>
      <c r="D42" s="3" t="s">
        <v>138</v>
      </c>
      <c r="E42" s="3" t="s">
        <v>139</v>
      </c>
      <c r="F42" s="3" t="s">
        <v>15</v>
      </c>
      <c r="G42" s="4">
        <v>1500</v>
      </c>
      <c r="H42" s="4">
        <v>12</v>
      </c>
      <c r="I42" s="5">
        <f t="shared" si="0"/>
        <v>18000</v>
      </c>
    </row>
    <row r="43" ht="17" spans="1:9">
      <c r="A43" s="3" t="s">
        <v>140</v>
      </c>
      <c r="B43" s="3" t="s">
        <v>132</v>
      </c>
      <c r="C43" s="3" t="s">
        <v>133</v>
      </c>
      <c r="D43" s="3" t="s">
        <v>141</v>
      </c>
      <c r="E43" s="3" t="s">
        <v>142</v>
      </c>
      <c r="F43" s="3" t="s">
        <v>68</v>
      </c>
      <c r="G43" s="4">
        <v>1500</v>
      </c>
      <c r="H43" s="4">
        <v>30</v>
      </c>
      <c r="I43" s="5">
        <f t="shared" si="0"/>
        <v>45000</v>
      </c>
    </row>
    <row r="44" ht="17" spans="1:9">
      <c r="A44" s="3" t="s">
        <v>143</v>
      </c>
      <c r="B44" s="3" t="s">
        <v>132</v>
      </c>
      <c r="C44" s="3" t="s">
        <v>133</v>
      </c>
      <c r="D44" s="3" t="s">
        <v>144</v>
      </c>
      <c r="E44" s="3" t="s">
        <v>145</v>
      </c>
      <c r="F44" s="3" t="s">
        <v>68</v>
      </c>
      <c r="G44" s="4">
        <v>1500</v>
      </c>
      <c r="H44" s="4">
        <v>14</v>
      </c>
      <c r="I44" s="5">
        <f>G44*H44</f>
        <v>21000</v>
      </c>
    </row>
    <row r="45" spans="1:9">
      <c r="A45" s="6" t="s">
        <v>146</v>
      </c>
      <c r="I45" s="7">
        <f>SUM(I3:I44)</f>
        <v>799000</v>
      </c>
    </row>
    <row r="46" spans="1:9">
      <c r="A46" s="3" t="s">
        <v>147</v>
      </c>
    </row>
  </sheetData>
  <mergeCells count="2">
    <mergeCell ref="A1:I1"/>
    <mergeCell ref="A46:I4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功能分解与报价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要相信科学</cp:lastModifiedBy>
  <dcterms:created xsi:type="dcterms:W3CDTF">2026-03-30T10:53:00Z</dcterms:created>
  <dcterms:modified xsi:type="dcterms:W3CDTF">2026-03-30T11:09:36Z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CalculationRule">
    <vt:i4>0</vt:i4>
  </property>
  <property fmtid="{D5CDD505-2E9C-101B-9397-08002B2CF9AE}" pid="4" name="ICV">
    <vt:lpwstr>8B12CC129A31FF4870E9C969AE125861_42</vt:lpwstr>
  </property>
</Properties>
</file>