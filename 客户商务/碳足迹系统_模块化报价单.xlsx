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420"/>
  </bookViews>
  <sheets>
    <sheet name="碳足迹数据服务系统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<sst xmlns="http://schemas.openxmlformats.org/spreadsheetml/2006/main" count="105" uniqueCount="103">
  <si>
    <t>钢铁行业供应链可信数据空间-产品碳足迹数据服务系统（数碳鑫服）报价清单</t>
  </si>
  <si>
    <t>子模块</t>
  </si>
  <si>
    <t>一级功能</t>
  </si>
  <si>
    <t>二级功能</t>
  </si>
  <si>
    <t>预估工作量(人天)</t>
  </si>
  <si>
    <t>单价</t>
  </si>
  <si>
    <t>预估报价(元)</t>
  </si>
  <si>
    <t>M01 门户与品牌入口</t>
  </si>
  <si>
    <t>产品碳足迹门户</t>
  </si>
  <si>
    <t>产品碳足迹二级门户与三端入口</t>
  </si>
  <si>
    <t>系统门户</t>
  </si>
  <si>
    <t>商谈运营平台门户与多服务入口</t>
  </si>
  <si>
    <t>M02 订单与任务编排</t>
  </si>
  <si>
    <t>任务管理</t>
  </si>
  <si>
    <t>任务列表（五段）与阶段跳转</t>
  </si>
  <si>
    <t>任务工作台</t>
  </si>
  <si>
    <t>任务详情-LCA计算</t>
  </si>
  <si>
    <t>任务详情-核查协作</t>
  </si>
  <si>
    <t>任务详情-配置阶段</t>
  </si>
  <si>
    <t>任务详情-采集审核</t>
  </si>
  <si>
    <t>工作台</t>
  </si>
  <si>
    <t>概览与快捷入口</t>
  </si>
  <si>
    <t>待办任务</t>
  </si>
  <si>
    <t>列表与跳转填报/澄清</t>
  </si>
  <si>
    <t>知识库与帮助</t>
  </si>
  <si>
    <t>帮助与知识库入口</t>
  </si>
  <si>
    <t>结算中心</t>
  </si>
  <si>
    <t>结算单与确认（第二阶段交付）</t>
  </si>
  <si>
    <t>绿色生态市场</t>
  </si>
  <si>
    <t>PCF报告数据资产的分发与消费</t>
  </si>
  <si>
    <t>订单管理</t>
  </si>
  <si>
    <t>订单四态与「确认并分配任务」</t>
  </si>
  <si>
    <t>运营驾驶舱</t>
  </si>
  <si>
    <t>简版 KPI、数据流、快捷入口</t>
  </si>
  <si>
    <t>驾驶舱完整版（第二阶段交付）</t>
  </si>
  <si>
    <t>M03 模板与结构化采集</t>
  </si>
  <si>
    <t>任务填报</t>
  </si>
  <si>
    <t>填报与凭证上传</t>
  </si>
  <si>
    <t>模板与表格引擎</t>
  </si>
  <si>
    <t>模板解析、模板快照、填报渲染</t>
  </si>
  <si>
    <t>模板中心</t>
  </si>
  <si>
    <t>采集模板维护与任务绑定</t>
  </si>
  <si>
    <t>M04 协同与澄清</t>
  </si>
  <si>
    <t>待澄清处理</t>
  </si>
  <si>
    <t>回复与佐证上传</t>
  </si>
  <si>
    <t>澄清与消息</t>
  </si>
  <si>
    <t>驳回/澄清/异议与消息可见性</t>
  </si>
  <si>
    <t>M05 LCA 与计算衔接</t>
  </si>
  <si>
    <t>LCA 计算</t>
  </si>
  <si>
    <t>手工摆渡方案与接口预留</t>
  </si>
  <si>
    <t>M06 核查与认证协作</t>
  </si>
  <si>
    <t>机构管理</t>
  </si>
  <si>
    <t>人员与成员管理（第二阶段交付）</t>
  </si>
  <si>
    <t>核查仪表盘</t>
  </si>
  <si>
    <t>KPI与任务队列等</t>
  </si>
  <si>
    <t>核查任务列表</t>
  </si>
  <si>
    <t>列表与跳转详情</t>
  </si>
  <si>
    <t>核查任务详情</t>
  </si>
  <si>
    <t>证照与报告只读、通过/驳回/澄清</t>
  </si>
  <si>
    <t>M07 报告与证书全周期</t>
  </si>
  <si>
    <t>我的报告</t>
  </si>
  <si>
    <t>预览、确认接收、申诉</t>
  </si>
  <si>
    <t>报告管理</t>
  </si>
  <si>
    <t>用印版、下发、申诉处理、归档</t>
  </si>
  <si>
    <t>结算单列表与确认（第二阶段交付）</t>
  </si>
  <si>
    <t>证书颁发管理</t>
  </si>
  <si>
    <t>证书记录列表与查看</t>
  </si>
  <si>
    <t>M08 生态主数据</t>
  </si>
  <si>
    <t>企业信息与证照</t>
  </si>
  <si>
    <t>维护/提交空间同步</t>
  </si>
  <si>
    <t>供应商管理</t>
  </si>
  <si>
    <t>供应商CRM与详情、证照视图</t>
  </si>
  <si>
    <t>核查机构管理</t>
  </si>
  <si>
    <t>核查机构与策略维护</t>
  </si>
  <si>
    <t>M09 平台治理与安全基座</t>
  </si>
  <si>
    <t>RBAC与系统管理</t>
  </si>
  <si>
    <t>关键操作日志</t>
  </si>
  <si>
    <t>角色权限矩阵与系统管理</t>
  </si>
  <si>
    <t>任务详情统一</t>
  </si>
  <si>
    <t>统一布局/子页与组件</t>
  </si>
  <si>
    <t>基础服务</t>
  </si>
  <si>
    <t>文件存储与上传策略</t>
  </si>
  <si>
    <t>工程与运维</t>
  </si>
  <si>
    <t>部署、CI、备份、基础监控</t>
  </si>
  <si>
    <t>质量保障</t>
  </si>
  <si>
    <t>测试计划、用例、验收支持</t>
  </si>
  <si>
    <t>身份与登录</t>
  </si>
  <si>
    <t>正式环境登录与权限接入</t>
  </si>
  <si>
    <t>M10 连接与体系互操作</t>
  </si>
  <si>
    <t>TDS/NDI 对齐</t>
  </si>
  <si>
    <t>架构与预留：身份、目录、合约、审计</t>
  </si>
  <si>
    <t>中心连接器</t>
  </si>
  <si>
    <t>基础版框架</t>
  </si>
  <si>
    <t>商城订单</t>
  </si>
  <si>
    <t>鑫采商城订单集成（视接口成熟度）</t>
  </si>
  <si>
    <t>擎工 SaaS</t>
  </si>
  <si>
    <t>任务下发、状态回调、结果回传（第二阶段交付）</t>
  </si>
  <si>
    <t>边端与混合流程</t>
  </si>
  <si>
    <t>轻量化部署与编排（如适用）（第二阶段交付）</t>
  </si>
  <si>
    <t>第三方费用</t>
  </si>
  <si>
    <t>GrapeCity SpreadJS 商业授权</t>
  </si>
  <si>
    <t>总计</t>
  </si>
  <si>
    <t>编制说明：本报价单依据功能模块采取工作量报价，单位为「人天」；人天行单价 1500 元/人天，人工合计 466 人天、小计 699000 元；GrapeCity SpreadJS 商业授权按固定价 101000 元单列（不计入上方人天合计）；报价总计 800000 元。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</si>
</sst>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\¥#,##0;_-* &quot;-&quot;??_-;_-@_-"/>
  </numFmts>
  <fonts count="24">
    <font>
      <sz val="11"/>
      <color theme="1"/>
      <name val="宋体"/>
      <charset val="134"/>
      <scheme val="minor"/>
    </font>
    <font>
      <b/>
      <sz val="18"/>
      <name val="微软雅黑"/>
      <charset val="134"/>
    </font>
    <font>
      <b/>
      <sz val="10.5"/>
      <color rgb="FFFFFFFF"/>
      <name val="微软雅黑"/>
      <charset val="134"/>
    </font>
    <font>
      <b/>
      <sz val="11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5" borderId="4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11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top" wrapText="1"/>
    </xf>
    <xf numFmtId="3" fontId="0" fillId="0" borderId="0" xfId="0" applyNumberFormat="1" applyAlignment="1">
      <alignment vertical="top" wrapText="1"/>
    </xf>
    <xf numFmtId="176" fontId="0" fillId="0" borderId="0" xfId="0" applyNumberFormat="1" applyAlignment="1">
      <alignment vertical="top" wrapText="1"/>
    </xf>
    <xf numFmtId="0" fontId="3" fillId="0" borderId="0" xfId="0" applyFont="1" applyAlignment="1">
      <alignment horizontal="center" vertical="center"/>
    </xf>
    <xf numFmtId="3" fontId="3" fillId="0" borderId="0" xfId="0" applyNumberFormat="1" applyFont="1"/>
    <xf numFmtId="3" fontId="0" fillId="0" borderId="0" xfId="0" applyNumberFormat="1"/>
    <xf numFmtId="176" fontId="3" fillId="0" borderId="0" xfId="0" applyNumberFormat="1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0"/>
  <sheetViews>
    <sheetView tabSelected="1" workbookViewId="0">
      <pane ySplit="2" topLeftCell="A3" activePane="bottomLeft" state="frozen"/>
      <selection/>
      <selection pane="bottomLeft" activeCell="D10" sqref="D10"/>
    </sheetView>
  </sheetViews>
  <sheetFormatPr defaultColWidth="35.0961538461538" defaultRowHeight="16.8" outlineLevelCol="5"/>
  <cols>
    <col min="1" max="16384" width="35.0961538461538" customWidth="1"/>
  </cols>
  <sheetData>
    <row r="1" ht="44" customHeight="1" spans="1:6">
      <c r="A1" s="1" t="s">
        <v>0</v>
      </c>
    </row>
    <row r="2" ht="32" spans="1:6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ht="17" spans="1:6">
      <c r="A3" s="3" t="s">
        <v>7</v>
      </c>
      <c r="B3" s="3" t="s">
        <v>8</v>
      </c>
      <c r="C3" s="4" t="s">
        <v>9</v>
      </c>
      <c r="D3" s="5">
        <v>8</v>
      </c>
      <c r="E3" s="5">
        <v>1500</v>
      </c>
      <c r="F3" s="6">
        <f t="shared" ref="F3:F47" si="0">D3*E3</f>
        <v>12000</v>
      </c>
    </row>
    <row r="4" ht="17" spans="1:6">
      <c r="B4" s="3" t="s">
        <v>10</v>
      </c>
      <c r="C4" s="4" t="s">
        <v>11</v>
      </c>
      <c r="D4" s="5">
        <v>8</v>
      </c>
      <c r="E4" s="5">
        <v>1500</v>
      </c>
      <c r="F4" s="6">
        <f t="shared" si="0"/>
        <v>12000</v>
      </c>
    </row>
    <row r="5" ht="17" spans="1:6">
      <c r="A5" s="3" t="s">
        <v>12</v>
      </c>
      <c r="B5" s="3" t="s">
        <v>13</v>
      </c>
      <c r="C5" s="4" t="s">
        <v>14</v>
      </c>
      <c r="D5" s="5">
        <v>8</v>
      </c>
      <c r="E5" s="5">
        <v>1500</v>
      </c>
      <c r="F5" s="6">
        <f t="shared" si="0"/>
        <v>12000</v>
      </c>
    </row>
    <row r="6" ht="17" spans="1:6">
      <c r="C6" s="4" t="s">
        <v>15</v>
      </c>
      <c r="D6" s="5">
        <v>8</v>
      </c>
      <c r="E6" s="5">
        <v>1500</v>
      </c>
      <c r="F6" s="6">
        <f t="shared" si="0"/>
        <v>12000</v>
      </c>
    </row>
    <row r="7" ht="17" spans="1:6">
      <c r="C7" s="4" t="s">
        <v>16</v>
      </c>
      <c r="D7" s="5">
        <v>8</v>
      </c>
      <c r="E7" s="5">
        <v>1500</v>
      </c>
      <c r="F7" s="6">
        <f t="shared" si="0"/>
        <v>12000</v>
      </c>
    </row>
    <row r="8" ht="17" spans="1:6">
      <c r="C8" s="4" t="s">
        <v>17</v>
      </c>
      <c r="D8" s="5">
        <v>8</v>
      </c>
      <c r="E8" s="5">
        <v>1500</v>
      </c>
      <c r="F8" s="6">
        <f t="shared" si="0"/>
        <v>12000</v>
      </c>
    </row>
    <row r="9" ht="17" spans="1:6">
      <c r="C9" s="4" t="s">
        <v>18</v>
      </c>
      <c r="D9" s="5">
        <v>8</v>
      </c>
      <c r="E9" s="5">
        <v>1500</v>
      </c>
      <c r="F9" s="6">
        <f t="shared" si="0"/>
        <v>12000</v>
      </c>
    </row>
    <row r="10" ht="17" spans="1:6">
      <c r="C10" s="4" t="s">
        <v>19</v>
      </c>
      <c r="D10" s="5">
        <v>8</v>
      </c>
      <c r="E10" s="5">
        <v>1500</v>
      </c>
      <c r="F10" s="6">
        <f t="shared" si="0"/>
        <v>12000</v>
      </c>
    </row>
    <row r="11" ht="17" spans="1:6">
      <c r="B11" s="3" t="s">
        <v>20</v>
      </c>
      <c r="C11" s="4" t="s">
        <v>21</v>
      </c>
      <c r="D11" s="5">
        <v>8</v>
      </c>
      <c r="E11" s="5">
        <v>1500</v>
      </c>
      <c r="F11" s="6">
        <f t="shared" si="0"/>
        <v>12000</v>
      </c>
    </row>
    <row r="12" ht="17" spans="1:6">
      <c r="B12" s="3" t="s">
        <v>22</v>
      </c>
      <c r="C12" s="4" t="s">
        <v>23</v>
      </c>
      <c r="D12" s="5">
        <v>8</v>
      </c>
      <c r="E12" s="5">
        <v>1500</v>
      </c>
      <c r="F12" s="6">
        <f t="shared" si="0"/>
        <v>12000</v>
      </c>
    </row>
    <row r="13" ht="17" spans="1:6">
      <c r="B13" s="3" t="s">
        <v>24</v>
      </c>
      <c r="C13" s="4" t="s">
        <v>25</v>
      </c>
      <c r="D13" s="5">
        <v>8</v>
      </c>
      <c r="E13" s="5">
        <v>1500</v>
      </c>
      <c r="F13" s="6">
        <f t="shared" si="0"/>
        <v>12000</v>
      </c>
    </row>
    <row r="14" ht="17" spans="1:6">
      <c r="B14" s="3" t="s">
        <v>26</v>
      </c>
      <c r="C14" s="4" t="s">
        <v>27</v>
      </c>
      <c r="D14" s="5">
        <v>30</v>
      </c>
      <c r="E14" s="5">
        <v>1500</v>
      </c>
      <c r="F14" s="6">
        <f t="shared" si="0"/>
        <v>45000</v>
      </c>
    </row>
    <row r="15" ht="17" spans="1:6">
      <c r="B15" s="3" t="s">
        <v>28</v>
      </c>
      <c r="C15" s="4" t="s">
        <v>29</v>
      </c>
      <c r="D15" s="5">
        <v>20</v>
      </c>
      <c r="E15" s="5">
        <v>1500</v>
      </c>
      <c r="F15" s="6">
        <f t="shared" si="0"/>
        <v>30000</v>
      </c>
    </row>
    <row r="16" ht="17" spans="1:6">
      <c r="B16" s="3" t="s">
        <v>30</v>
      </c>
      <c r="C16" s="4" t="s">
        <v>31</v>
      </c>
      <c r="D16" s="5">
        <v>8</v>
      </c>
      <c r="E16" s="5">
        <v>1500</v>
      </c>
      <c r="F16" s="6">
        <f t="shared" si="0"/>
        <v>12000</v>
      </c>
    </row>
    <row r="17" ht="17" spans="1:6">
      <c r="B17" s="3" t="s">
        <v>32</v>
      </c>
      <c r="C17" s="4" t="s">
        <v>33</v>
      </c>
      <c r="D17" s="5">
        <v>8</v>
      </c>
      <c r="E17" s="5">
        <v>1500</v>
      </c>
      <c r="F17" s="6">
        <f t="shared" si="0"/>
        <v>12000</v>
      </c>
    </row>
    <row r="18" ht="17" spans="1:6">
      <c r="C18" s="4" t="s">
        <v>34</v>
      </c>
      <c r="D18" s="5">
        <v>20</v>
      </c>
      <c r="E18" s="5">
        <v>1500</v>
      </c>
      <c r="F18" s="6">
        <f t="shared" si="0"/>
        <v>30000</v>
      </c>
    </row>
    <row r="19" ht="17" spans="1:6">
      <c r="A19" s="3" t="s">
        <v>35</v>
      </c>
      <c r="B19" s="3" t="s">
        <v>36</v>
      </c>
      <c r="C19" s="4" t="s">
        <v>37</v>
      </c>
      <c r="D19" s="5">
        <v>10</v>
      </c>
      <c r="E19" s="5">
        <v>1500</v>
      </c>
      <c r="F19" s="6">
        <f t="shared" si="0"/>
        <v>15000</v>
      </c>
    </row>
    <row r="20" ht="17" spans="1:6">
      <c r="B20" s="3" t="s">
        <v>38</v>
      </c>
      <c r="C20" s="4" t="s">
        <v>39</v>
      </c>
      <c r="D20" s="5">
        <v>8</v>
      </c>
      <c r="E20" s="5">
        <v>1500</v>
      </c>
      <c r="F20" s="6">
        <f t="shared" si="0"/>
        <v>12000</v>
      </c>
    </row>
    <row r="21" ht="17" spans="1:6">
      <c r="B21" s="3" t="s">
        <v>40</v>
      </c>
      <c r="C21" s="4" t="s">
        <v>41</v>
      </c>
      <c r="D21" s="5">
        <v>10</v>
      </c>
      <c r="E21" s="5">
        <v>1500</v>
      </c>
      <c r="F21" s="6">
        <f t="shared" si="0"/>
        <v>15000</v>
      </c>
    </row>
    <row r="22" ht="17" spans="1:6">
      <c r="A22" s="3" t="s">
        <v>42</v>
      </c>
      <c r="B22" s="3" t="s">
        <v>43</v>
      </c>
      <c r="C22" s="4" t="s">
        <v>44</v>
      </c>
      <c r="D22" s="5">
        <v>8</v>
      </c>
      <c r="E22" s="5">
        <v>1500</v>
      </c>
      <c r="F22" s="6">
        <f t="shared" si="0"/>
        <v>12000</v>
      </c>
    </row>
    <row r="23" ht="17" spans="1:6">
      <c r="B23" s="3" t="s">
        <v>45</v>
      </c>
      <c r="C23" s="4" t="s">
        <v>46</v>
      </c>
      <c r="D23" s="5">
        <v>8</v>
      </c>
      <c r="E23" s="5">
        <v>1500</v>
      </c>
      <c r="F23" s="6">
        <f t="shared" si="0"/>
        <v>12000</v>
      </c>
    </row>
    <row r="24" ht="17" spans="1:6">
      <c r="A24" s="3" t="s">
        <v>47</v>
      </c>
      <c r="B24" s="3" t="s">
        <v>48</v>
      </c>
      <c r="C24" s="4" t="s">
        <v>49</v>
      </c>
      <c r="D24" s="5">
        <v>8</v>
      </c>
      <c r="E24" s="5">
        <v>1500</v>
      </c>
      <c r="F24" s="6">
        <f t="shared" si="0"/>
        <v>12000</v>
      </c>
    </row>
    <row r="25" ht="17" spans="1:6">
      <c r="A25" s="3" t="s">
        <v>50</v>
      </c>
      <c r="B25" s="3" t="s">
        <v>51</v>
      </c>
      <c r="C25" s="4" t="s">
        <v>52</v>
      </c>
      <c r="D25" s="5">
        <v>20</v>
      </c>
      <c r="E25" s="5">
        <v>1500</v>
      </c>
      <c r="F25" s="6">
        <f t="shared" si="0"/>
        <v>30000</v>
      </c>
    </row>
    <row r="26" ht="17" spans="1:6">
      <c r="B26" s="3" t="s">
        <v>53</v>
      </c>
      <c r="C26" s="4" t="s">
        <v>54</v>
      </c>
      <c r="D26" s="5">
        <v>8</v>
      </c>
      <c r="E26" s="5">
        <v>1500</v>
      </c>
      <c r="F26" s="6">
        <f t="shared" si="0"/>
        <v>12000</v>
      </c>
    </row>
    <row r="27" ht="17" spans="1:6">
      <c r="B27" s="3" t="s">
        <v>55</v>
      </c>
      <c r="C27" s="4" t="s">
        <v>56</v>
      </c>
      <c r="D27" s="5">
        <v>8</v>
      </c>
      <c r="E27" s="5">
        <v>1500</v>
      </c>
      <c r="F27" s="6">
        <f t="shared" si="0"/>
        <v>12000</v>
      </c>
    </row>
    <row r="28" ht="17" spans="1:6">
      <c r="B28" s="3" t="s">
        <v>57</v>
      </c>
      <c r="C28" s="4" t="s">
        <v>58</v>
      </c>
      <c r="D28" s="5">
        <v>8</v>
      </c>
      <c r="E28" s="5">
        <v>1500</v>
      </c>
      <c r="F28" s="6">
        <f t="shared" si="0"/>
        <v>12000</v>
      </c>
    </row>
    <row r="29" ht="17" spans="1:6">
      <c r="A29" s="3" t="s">
        <v>59</v>
      </c>
      <c r="B29" s="3" t="s">
        <v>60</v>
      </c>
      <c r="C29" s="4" t="s">
        <v>61</v>
      </c>
      <c r="D29" s="5">
        <v>8</v>
      </c>
      <c r="E29" s="5">
        <v>1500</v>
      </c>
      <c r="F29" s="6">
        <f t="shared" si="0"/>
        <v>12000</v>
      </c>
    </row>
    <row r="30" ht="17" spans="1:6">
      <c r="B30" s="3" t="s">
        <v>62</v>
      </c>
      <c r="C30" s="4" t="s">
        <v>63</v>
      </c>
      <c r="D30" s="5">
        <v>8</v>
      </c>
      <c r="E30" s="5">
        <v>1500</v>
      </c>
      <c r="F30" s="6">
        <f t="shared" si="0"/>
        <v>12000</v>
      </c>
    </row>
    <row r="31" ht="17" spans="1:6">
      <c r="B31" s="3" t="s">
        <v>26</v>
      </c>
      <c r="C31" s="4" t="s">
        <v>64</v>
      </c>
      <c r="D31" s="5">
        <v>20</v>
      </c>
      <c r="E31" s="5">
        <v>1500</v>
      </c>
      <c r="F31" s="6">
        <f t="shared" si="0"/>
        <v>30000</v>
      </c>
    </row>
    <row r="32" ht="17" spans="1:6">
      <c r="B32" s="3" t="s">
        <v>65</v>
      </c>
      <c r="C32" s="4" t="s">
        <v>66</v>
      </c>
      <c r="D32" s="5">
        <v>8</v>
      </c>
      <c r="E32" s="5">
        <v>1500</v>
      </c>
      <c r="F32" s="6">
        <f t="shared" si="0"/>
        <v>12000</v>
      </c>
    </row>
    <row r="33" ht="17" spans="1:6">
      <c r="A33" s="3" t="s">
        <v>67</v>
      </c>
      <c r="B33" s="3" t="s">
        <v>68</v>
      </c>
      <c r="C33" s="4" t="s">
        <v>69</v>
      </c>
      <c r="D33" s="5">
        <v>8</v>
      </c>
      <c r="E33" s="5">
        <v>1500</v>
      </c>
      <c r="F33" s="6">
        <f t="shared" si="0"/>
        <v>12000</v>
      </c>
    </row>
    <row r="34" ht="17" spans="1:6">
      <c r="B34" s="3" t="s">
        <v>70</v>
      </c>
      <c r="C34" s="4" t="s">
        <v>71</v>
      </c>
      <c r="D34" s="5">
        <v>8</v>
      </c>
      <c r="E34" s="5">
        <v>1500</v>
      </c>
      <c r="F34" s="6">
        <f t="shared" si="0"/>
        <v>12000</v>
      </c>
    </row>
    <row r="35" ht="17" spans="1:6">
      <c r="B35" s="3" t="s">
        <v>72</v>
      </c>
      <c r="C35" s="4" t="s">
        <v>73</v>
      </c>
      <c r="D35" s="5">
        <v>8</v>
      </c>
      <c r="E35" s="5">
        <v>1500</v>
      </c>
      <c r="F35" s="6">
        <f t="shared" si="0"/>
        <v>12000</v>
      </c>
    </row>
    <row r="36" ht="17" spans="1:6">
      <c r="A36" s="3" t="s">
        <v>74</v>
      </c>
      <c r="B36" s="3" t="s">
        <v>75</v>
      </c>
      <c r="C36" s="4" t="s">
        <v>76</v>
      </c>
      <c r="D36" s="5">
        <v>8</v>
      </c>
      <c r="E36" s="5">
        <v>1500</v>
      </c>
      <c r="F36" s="6">
        <f t="shared" si="0"/>
        <v>12000</v>
      </c>
    </row>
    <row r="37" ht="17" spans="1:6">
      <c r="C37" s="4" t="s">
        <v>77</v>
      </c>
      <c r="D37" s="5">
        <v>8</v>
      </c>
      <c r="E37" s="5">
        <v>1500</v>
      </c>
      <c r="F37" s="6">
        <f t="shared" si="0"/>
        <v>12000</v>
      </c>
    </row>
    <row r="38" ht="17" spans="1:6">
      <c r="B38" s="3" t="s">
        <v>78</v>
      </c>
      <c r="C38" s="4" t="s">
        <v>79</v>
      </c>
      <c r="D38" s="5">
        <v>8</v>
      </c>
      <c r="E38" s="5">
        <v>1500</v>
      </c>
      <c r="F38" s="6">
        <f t="shared" si="0"/>
        <v>12000</v>
      </c>
    </row>
    <row r="39" ht="17" spans="1:6">
      <c r="B39" s="3" t="s">
        <v>80</v>
      </c>
      <c r="C39" s="4" t="s">
        <v>81</v>
      </c>
      <c r="D39" s="5">
        <v>10</v>
      </c>
      <c r="E39" s="5">
        <v>1500</v>
      </c>
      <c r="F39" s="6">
        <f t="shared" si="0"/>
        <v>15000</v>
      </c>
    </row>
    <row r="40" ht="17" spans="1:6">
      <c r="B40" s="3" t="s">
        <v>82</v>
      </c>
      <c r="C40" s="4" t="s">
        <v>83</v>
      </c>
      <c r="D40" s="5">
        <v>8</v>
      </c>
      <c r="E40" s="5">
        <v>1500</v>
      </c>
      <c r="F40" s="6">
        <f t="shared" si="0"/>
        <v>12000</v>
      </c>
    </row>
    <row r="41" ht="17" spans="1:6">
      <c r="B41" s="3" t="s">
        <v>84</v>
      </c>
      <c r="C41" s="4" t="s">
        <v>85</v>
      </c>
      <c r="D41" s="5">
        <v>8</v>
      </c>
      <c r="E41" s="5">
        <v>1500</v>
      </c>
      <c r="F41" s="6">
        <f t="shared" si="0"/>
        <v>12000</v>
      </c>
    </row>
    <row r="42" ht="17" spans="1:6">
      <c r="B42" s="3" t="s">
        <v>86</v>
      </c>
      <c r="C42" s="4" t="s">
        <v>87</v>
      </c>
      <c r="D42" s="5">
        <v>8</v>
      </c>
      <c r="E42" s="5">
        <v>1500</v>
      </c>
      <c r="F42" s="6">
        <f t="shared" si="0"/>
        <v>12000</v>
      </c>
    </row>
    <row r="43" ht="17" spans="1:6">
      <c r="A43" s="3" t="s">
        <v>88</v>
      </c>
      <c r="B43" s="3" t="s">
        <v>89</v>
      </c>
      <c r="C43" s="4" t="s">
        <v>90</v>
      </c>
      <c r="D43" s="5">
        <v>8</v>
      </c>
      <c r="E43" s="5">
        <v>1500</v>
      </c>
      <c r="F43" s="6">
        <f t="shared" si="0"/>
        <v>12000</v>
      </c>
    </row>
    <row r="44" ht="17" spans="1:6">
      <c r="B44" s="3" t="s">
        <v>91</v>
      </c>
      <c r="C44" s="4" t="s">
        <v>92</v>
      </c>
      <c r="D44" s="5">
        <v>8</v>
      </c>
      <c r="E44" s="5">
        <v>1500</v>
      </c>
      <c r="F44" s="6">
        <f t="shared" si="0"/>
        <v>12000</v>
      </c>
    </row>
    <row r="45" ht="17" spans="1:6">
      <c r="B45" s="3" t="s">
        <v>93</v>
      </c>
      <c r="C45" s="4" t="s">
        <v>94</v>
      </c>
      <c r="D45" s="5">
        <v>8</v>
      </c>
      <c r="E45" s="5">
        <v>1500</v>
      </c>
      <c r="F45" s="6">
        <f t="shared" si="0"/>
        <v>12000</v>
      </c>
    </row>
    <row r="46" ht="34" spans="1:6">
      <c r="B46" s="3" t="s">
        <v>95</v>
      </c>
      <c r="C46" s="4" t="s">
        <v>96</v>
      </c>
      <c r="D46" s="5">
        <v>30</v>
      </c>
      <c r="E46" s="5">
        <v>1500</v>
      </c>
      <c r="F46" s="6">
        <f t="shared" si="0"/>
        <v>45000</v>
      </c>
    </row>
    <row r="47" ht="34" spans="1:6">
      <c r="B47" s="3" t="s">
        <v>97</v>
      </c>
      <c r="C47" s="4" t="s">
        <v>98</v>
      </c>
      <c r="D47" s="5">
        <v>16</v>
      </c>
      <c r="E47" s="5">
        <v>1500</v>
      </c>
      <c r="F47" s="6">
        <f t="shared" si="0"/>
        <v>24000</v>
      </c>
    </row>
    <row r="48" ht="17" spans="1:6">
      <c r="A48" s="3" t="s">
        <v>35</v>
      </c>
      <c r="B48" s="3" t="s">
        <v>99</v>
      </c>
      <c r="C48" s="4" t="s">
        <v>100</v>
      </c>
      <c r="D48" s="5"/>
      <c r="E48" s="5"/>
      <c r="F48" s="6">
        <v>100000</v>
      </c>
    </row>
    <row r="49" spans="1:6">
      <c r="A49" s="7" t="s">
        <v>101</v>
      </c>
      <c r="D49" s="8">
        <f>SUM(D3:D48)</f>
        <v>466</v>
      </c>
      <c r="E49" s="9">
        <v>1500</v>
      </c>
      <c r="F49" s="10">
        <f>SUM(F3:F48)</f>
        <v>799000</v>
      </c>
    </row>
    <row r="50" ht="60" customHeight="1" spans="1:6">
      <c r="A50" s="4" t="s">
        <v>102</v>
      </c>
    </row>
  </sheetData>
  <mergeCells count="15">
    <mergeCell ref="A1:F1"/>
    <mergeCell ref="A49:C49"/>
    <mergeCell ref="A50:F50"/>
    <mergeCell ref="A3:A4"/>
    <mergeCell ref="A5:A18"/>
    <mergeCell ref="A19:A21"/>
    <mergeCell ref="A22:A23"/>
    <mergeCell ref="A25:A28"/>
    <mergeCell ref="A29:A32"/>
    <mergeCell ref="A33:A35"/>
    <mergeCell ref="A36:A42"/>
    <mergeCell ref="A43:A47"/>
    <mergeCell ref="B5:B10"/>
    <mergeCell ref="B17:B18"/>
    <mergeCell ref="B36:B37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碳足迹数据服务系统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要相信科学</cp:lastModifiedBy>
  <dcterms:created xsi:type="dcterms:W3CDTF">2026-03-30T15:20:00Z</dcterms:created>
  <dcterms:modified xsi:type="dcterms:W3CDTF">2026-03-30T16:27:54Z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2052-12.1.25205.25205</vt:lpwstr>
  </property>
  <property fmtid="{D5CDD505-2E9C-101B-9397-08002B2CF9AE}" pid="3" name="CalculationRule">
    <vt:i4>0</vt:i4>
  </property>
  <property fmtid="{D5CDD505-2E9C-101B-9397-08002B2CF9AE}" pid="4" name="ICV">
    <vt:lpwstr>EC96FE663384B9CC0A34CA69EF2D7F62_42</vt:lpwstr>
  </property>
</Properties>
</file>